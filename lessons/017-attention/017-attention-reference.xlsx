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sharedStrings.xml><?xml version="1.0" encoding="utf-8"?>
<sst xmlns="http://schemas.openxmlformats.org/spreadsheetml/2006/main" count="721" uniqueCount="77">
  <si>
    <t>Attention: all formulas, don't worry we'll demonstrate each one</t>
  </si>
  <si>
    <t xml:space="preserve">Self-attention: Query </t>
  </si>
  <si>
    <t>Input</t>
  </si>
  <si>
    <t>(X)</t>
  </si>
  <si>
    <t>⬇</t>
  </si>
  <si>
    <t>Weight Q</t>
  </si>
  <si>
    <t>Q</t>
  </si>
  <si>
    <t>(Query)</t>
  </si>
  <si>
    <t>➡</t>
  </si>
  <si>
    <t>Self-attention: Key</t>
  </si>
  <si>
    <t>Weight K</t>
  </si>
  <si>
    <t>K</t>
  </si>
  <si>
    <t>(Key)</t>
  </si>
  <si>
    <t>Self-attention: Value</t>
  </si>
  <si>
    <t>Weight V</t>
  </si>
  <si>
    <t>V</t>
  </si>
  <si>
    <t>(Value)</t>
  </si>
  <si>
    <t>Self-attention: Query, Key, Value (scaffolding)</t>
  </si>
  <si>
    <t>Self-attention: Softmax(Q*K/d^0.5)</t>
  </si>
  <si>
    <t>Transpose(K)</t>
  </si>
  <si>
    <t>Q*Kt</t>
  </si>
  <si>
    <t>Dk^0.5</t>
  </si>
  <si>
    <t>Q*Kt/Dk^0.5</t>
  </si>
  <si>
    <t>J97/$G$107</t>
  </si>
  <si>
    <t>SoftMax(</t>
  </si>
  <si>
    <t xml:space="preserve">EXP(J104)/SUMPRODUCT(EXP($J104:$N104))
</t>
  </si>
  <si>
    <t>Q*Kt)</t>
  </si>
  <si>
    <t>Self-attention: Causal Mask</t>
  </si>
  <si>
    <t>Causal</t>
  </si>
  <si>
    <t>with mask</t>
  </si>
  <si>
    <t>ARRAYFORMULA(J123:N127+C130:G134)</t>
  </si>
  <si>
    <t>Mask</t>
  </si>
  <si>
    <t>Self-attention: SoftMax @ V</t>
  </si>
  <si>
    <t>SoftMax@V</t>
  </si>
  <si>
    <t>MMULT(J149:N153,C156:G160)</t>
  </si>
  <si>
    <t>w/ Mask</t>
  </si>
  <si>
    <t xml:space="preserve">Complete causal self-attention </t>
  </si>
  <si>
    <t xml:space="preserve">SoftMax(Q*Kt/Dk^0.5) </t>
  </si>
  <si>
    <t>Self-</t>
  </si>
  <si>
    <t>attention</t>
  </si>
  <si>
    <t>Multi-head attention</t>
  </si>
  <si>
    <t>⬅</t>
  </si>
  <si>
    <t>Weight Q1</t>
  </si>
  <si>
    <t>Q1</t>
  </si>
  <si>
    <t>Weight Q2</t>
  </si>
  <si>
    <t>Q2</t>
  </si>
  <si>
    <t>Weight K1</t>
  </si>
  <si>
    <t>K1</t>
  </si>
  <si>
    <t>Weight K2</t>
  </si>
  <si>
    <t>K2</t>
  </si>
  <si>
    <t>Weight V1</t>
  </si>
  <si>
    <t>V1</t>
  </si>
  <si>
    <t>Weight V2</t>
  </si>
  <si>
    <t>V2</t>
  </si>
  <si>
    <t>Causal self-attention #1</t>
  </si>
  <si>
    <t>Causal self-attention #2</t>
  </si>
  <si>
    <t>Multi-head attention: Concat</t>
  </si>
  <si>
    <t>Causal self-attention #3 (n)</t>
  </si>
  <si>
    <t>...</t>
  </si>
  <si>
    <t>Concat</t>
  </si>
  <si>
    <t>W0</t>
  </si>
  <si>
    <t>MHA</t>
  </si>
  <si>
    <t>MMULT(E266:S270, E273:I287)</t>
  </si>
  <si>
    <t>MHA Alternatives: GQA and MQA, Sharing Query And Key matrices</t>
  </si>
  <si>
    <t>Shared</t>
  </si>
  <si>
    <t>Key</t>
  </si>
  <si>
    <t>Value</t>
  </si>
  <si>
    <t xml:space="preserve">Dimensions: emedding dimensions -&gt; head dimensions </t>
  </si>
  <si>
    <t>GPT2</t>
  </si>
  <si>
    <t>This sheet</t>
  </si>
  <si>
    <t>Embedding dimension</t>
  </si>
  <si>
    <t># Heads</t>
  </si>
  <si>
    <t>Head dimension</t>
  </si>
  <si>
    <t>[FILL]</t>
  </si>
  <si>
    <t xml:space="preserve">Dimensions: Head dimension example </t>
  </si>
  <si>
    <t>Embedding Dimension</t>
  </si>
  <si>
    <t xml:space="preserve">Self-attention: Query, but with accurate head dimensions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</si>
</sst>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11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b/>
      <u/>
      <sz val="11.0"/>
      <color theme="1"/>
      <name val="Arial"/>
      <scheme val="minor"/>
    </font>
    <font>
      <color rgb="FFB7B7B7"/>
      <name val="Arial"/>
    </font>
    <font>
      <color theme="1"/>
      <name val="Arial"/>
    </font>
    <font>
      <color rgb="FFFFFFFF"/>
      <name val="Arial"/>
    </font>
    <font>
      <color rgb="FF000000"/>
      <name val="Arial"/>
      <scheme val="minor"/>
    </font>
    <font>
      <u/>
      <color rgb="FFB7B7B7"/>
      <name val="Arial"/>
      <scheme val="minor"/>
    </font>
    <font>
      <u/>
      <color rgb="FFB7B7B7"/>
      <name val="Arial"/>
      <scheme val="minor"/>
    </font>
    <font>
      <b/>
      <color theme="1"/>
      <name val="Arial"/>
      <scheme val="minor"/>
    </font>
  </fonts>
  <fills count="1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EFEFE"/>
        <bgColor rgb="FFFEFEFE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CF3F3"/>
        <bgColor rgb="FFFCF3F3"/>
      </patternFill>
    </fill>
    <fill>
      <patternFill patternType="solid">
        <fgColor rgb="FFFCFEFD"/>
        <bgColor rgb="FFFCFEFD"/>
      </patternFill>
    </fill>
    <fill>
      <patternFill patternType="solid">
        <fgColor rgb="FFF0F9F5"/>
        <bgColor rgb="FFF0F9F5"/>
      </patternFill>
    </fill>
    <fill>
      <patternFill patternType="solid">
        <fgColor rgb="FFD2EDE0"/>
        <bgColor rgb="FFD2EDE0"/>
      </patternFill>
    </fill>
    <fill>
      <patternFill patternType="solid">
        <fgColor rgb="FFFBEAE8"/>
        <bgColor rgb="FFFBEAE8"/>
      </patternFill>
    </fill>
    <fill>
      <patternFill patternType="solid">
        <fgColor rgb="FFF9E0DE"/>
        <bgColor rgb="FFF9E0DE"/>
      </patternFill>
    </fill>
    <fill>
      <patternFill patternType="solid">
        <fgColor rgb="FFF9FDFB"/>
        <bgColor rgb="FFF9FDFB"/>
      </patternFill>
    </fill>
    <fill>
      <patternFill patternType="solid">
        <fgColor rgb="FFD7EFE4"/>
        <bgColor rgb="FFD7EFE4"/>
      </patternFill>
    </fill>
    <fill>
      <patternFill patternType="solid">
        <fgColor rgb="FFFEFAFA"/>
        <bgColor rgb="FFFEFAFA"/>
      </patternFill>
    </fill>
    <fill>
      <patternFill patternType="solid">
        <fgColor rgb="FFFAE8E6"/>
        <bgColor rgb="FFFAE8E6"/>
      </patternFill>
    </fill>
    <fill>
      <patternFill patternType="solid">
        <fgColor rgb="FFF3C5C1"/>
        <bgColor rgb="FFF3C5C1"/>
      </patternFill>
    </fill>
    <fill>
      <patternFill patternType="solid">
        <fgColor rgb="FFFAFDFC"/>
        <bgColor rgb="FFFAFDFC"/>
      </patternFill>
    </fill>
    <fill>
      <patternFill patternType="solid">
        <fgColor rgb="FFD9F0E5"/>
        <bgColor rgb="FFD9F0E5"/>
      </patternFill>
    </fill>
    <fill>
      <patternFill patternType="solid">
        <fgColor rgb="FFE8F6EF"/>
        <bgColor rgb="FFE8F6EF"/>
      </patternFill>
    </fill>
    <fill>
      <patternFill patternType="solid">
        <fgColor rgb="FFFEFCFC"/>
        <bgColor rgb="FFFEFCFC"/>
      </patternFill>
    </fill>
    <fill>
      <patternFill patternType="solid">
        <fgColor rgb="FFF2FAF6"/>
        <bgColor rgb="FFF2FAF6"/>
      </patternFill>
    </fill>
    <fill>
      <patternFill patternType="solid">
        <fgColor rgb="FFFBEEED"/>
        <bgColor rgb="FFFBEEED"/>
      </patternFill>
    </fill>
    <fill>
      <patternFill patternType="solid">
        <fgColor rgb="FFE7F6EE"/>
        <bgColor rgb="FFE7F6EE"/>
      </patternFill>
    </fill>
    <fill>
      <patternFill patternType="solid">
        <fgColor rgb="FFB4E1CB"/>
        <bgColor rgb="FFB4E1CB"/>
      </patternFill>
    </fill>
    <fill>
      <patternFill patternType="solid">
        <fgColor rgb="FFFDF5F4"/>
        <bgColor rgb="FFFDF5F4"/>
      </patternFill>
    </fill>
    <fill>
      <patternFill patternType="solid">
        <fgColor rgb="FFF5CECB"/>
        <bgColor rgb="FFF5CECB"/>
      </patternFill>
    </fill>
    <fill>
      <patternFill patternType="solid">
        <fgColor rgb="FFECF8F2"/>
        <bgColor rgb="FFECF8F2"/>
      </patternFill>
    </fill>
    <fill>
      <patternFill patternType="solid">
        <fgColor rgb="FFE5F5ED"/>
        <bgColor rgb="FFE5F5ED"/>
      </patternFill>
    </fill>
    <fill>
      <patternFill patternType="solid">
        <fgColor rgb="FFD6EFE3"/>
        <bgColor rgb="FFD6EFE3"/>
      </patternFill>
    </fill>
    <fill>
      <patternFill patternType="solid">
        <fgColor rgb="FFFBFEFD"/>
        <bgColor rgb="FFFBFEFD"/>
      </patternFill>
    </fill>
    <fill>
      <patternFill patternType="solid">
        <fgColor rgb="FFF1B7B2"/>
        <bgColor rgb="FFF1B7B2"/>
      </patternFill>
    </fill>
    <fill>
      <patternFill patternType="solid">
        <fgColor rgb="FFF7D5D3"/>
        <bgColor rgb="FFF7D5D3"/>
      </patternFill>
    </fill>
    <fill>
      <patternFill patternType="solid">
        <fgColor rgb="FFF5CDCA"/>
        <bgColor rgb="FFF5CDCA"/>
      </patternFill>
    </fill>
    <fill>
      <patternFill patternType="solid">
        <fgColor rgb="FFCDEBDC"/>
        <bgColor rgb="FFCDEBDC"/>
      </patternFill>
    </fill>
    <fill>
      <patternFill patternType="solid">
        <fgColor rgb="FFF4FBF7"/>
        <bgColor rgb="FFF4FBF7"/>
      </patternFill>
    </fill>
    <fill>
      <patternFill patternType="solid">
        <fgColor rgb="FFF5FBF8"/>
        <bgColor rgb="FFF5FBF8"/>
      </patternFill>
    </fill>
    <fill>
      <patternFill patternType="solid">
        <fgColor rgb="FFF8FCFA"/>
        <bgColor rgb="FFF8FCFA"/>
      </patternFill>
    </fill>
    <fill>
      <patternFill patternType="solid">
        <fgColor rgb="FFF4FBF8"/>
        <bgColor rgb="FFF4FBF8"/>
      </patternFill>
    </fill>
    <fill>
      <patternFill patternType="solid">
        <fgColor rgb="FFEBF7F1"/>
        <bgColor rgb="FFEBF7F1"/>
      </patternFill>
    </fill>
    <fill>
      <patternFill patternType="solid">
        <fgColor rgb="FFEFAFAA"/>
        <bgColor rgb="FFEFAFAA"/>
      </patternFill>
    </fill>
    <fill>
      <patternFill patternType="solid">
        <fgColor rgb="FFF8DBD8"/>
        <bgColor rgb="FFF8DBD8"/>
      </patternFill>
    </fill>
    <fill>
      <patternFill patternType="solid">
        <fgColor rgb="FFDDF2E8"/>
        <bgColor rgb="FFDDF2E8"/>
      </patternFill>
    </fill>
    <fill>
      <patternFill patternType="solid">
        <fgColor rgb="FFB9E3CE"/>
        <bgColor rgb="FFB9E3CE"/>
      </patternFill>
    </fill>
    <fill>
      <patternFill patternType="solid">
        <fgColor rgb="FFDBF1E6"/>
        <bgColor rgb="FFDBF1E6"/>
      </patternFill>
    </fill>
    <fill>
      <patternFill patternType="solid">
        <fgColor rgb="FFF8FDFB"/>
        <bgColor rgb="FFF8FDFB"/>
      </patternFill>
    </fill>
    <fill>
      <patternFill patternType="solid">
        <fgColor rgb="FFFAE8E7"/>
        <bgColor rgb="FFFAE8E7"/>
      </patternFill>
    </fill>
    <fill>
      <patternFill patternType="solid">
        <fgColor rgb="FFFCF4F3"/>
        <bgColor rgb="FFFCF4F3"/>
      </patternFill>
    </fill>
    <fill>
      <patternFill patternType="solid">
        <fgColor rgb="FFF6FCF9"/>
        <bgColor rgb="FFF6FCF9"/>
      </patternFill>
    </fill>
    <fill>
      <patternFill patternType="solid">
        <fgColor rgb="FFF4C8C4"/>
        <bgColor rgb="FFF4C8C4"/>
      </patternFill>
    </fill>
    <fill>
      <patternFill patternType="solid">
        <fgColor rgb="FFF5CFCC"/>
        <bgColor rgb="FFF5CFCC"/>
      </patternFill>
    </fill>
    <fill>
      <patternFill patternType="solid">
        <fgColor rgb="FFF6D3D0"/>
        <bgColor rgb="FFF6D3D0"/>
      </patternFill>
    </fill>
    <fill>
      <patternFill patternType="solid">
        <fgColor rgb="FFC7E9D8"/>
        <bgColor rgb="FFC7E9D8"/>
      </patternFill>
    </fill>
    <fill>
      <patternFill patternType="solid">
        <fgColor rgb="FFE6F5EE"/>
        <bgColor rgb="FFE6F5EE"/>
      </patternFill>
    </fill>
    <fill>
      <patternFill patternType="solid">
        <fgColor rgb="FFFEFFFF"/>
        <bgColor rgb="FFFEFFFF"/>
      </patternFill>
    </fill>
    <fill>
      <patternFill patternType="solid">
        <fgColor rgb="FFD8EFE4"/>
        <bgColor rgb="FFD8EFE4"/>
      </patternFill>
    </fill>
    <fill>
      <patternFill patternType="solid">
        <fgColor rgb="FFEFF9F4"/>
        <bgColor rgb="FFEFF9F4"/>
      </patternFill>
    </fill>
    <fill>
      <patternFill patternType="solid">
        <fgColor rgb="FFE4F5ED"/>
        <bgColor rgb="FFE4F5ED"/>
      </patternFill>
    </fill>
    <fill>
      <patternFill patternType="solid">
        <fgColor rgb="FFFBFEFC"/>
        <bgColor rgb="FFFBFEFC"/>
      </patternFill>
    </fill>
    <fill>
      <patternFill patternType="solid">
        <fgColor rgb="FFF0F9F4"/>
        <bgColor rgb="FFF0F9F4"/>
      </patternFill>
    </fill>
    <fill>
      <patternFill patternType="solid">
        <fgColor rgb="FFFEFAF9"/>
        <bgColor rgb="FFFEFAF9"/>
      </patternFill>
    </fill>
    <fill>
      <patternFill patternType="solid">
        <fgColor rgb="FFFBEBEA"/>
        <bgColor rgb="FFFBEBEA"/>
      </patternFill>
    </fill>
    <fill>
      <patternFill patternType="solid">
        <fgColor rgb="FFE4F4EC"/>
        <bgColor rgb="FFE4F4EC"/>
      </patternFill>
    </fill>
    <fill>
      <patternFill patternType="solid">
        <fgColor rgb="FFFDF7F7"/>
        <bgColor rgb="FFFDF7F7"/>
      </patternFill>
    </fill>
    <fill>
      <patternFill patternType="solid">
        <fgColor rgb="FFFDFEFE"/>
        <bgColor rgb="FFFDFEFE"/>
      </patternFill>
    </fill>
    <fill>
      <patternFill patternType="solid">
        <fgColor rgb="FFAFDFC7"/>
        <bgColor rgb="FFAFDFC7"/>
      </patternFill>
    </fill>
    <fill>
      <patternFill patternType="solid">
        <fgColor rgb="FF91D3B2"/>
        <bgColor rgb="FF91D3B2"/>
      </patternFill>
    </fill>
    <fill>
      <patternFill patternType="solid">
        <fgColor rgb="FF57BB8A"/>
        <bgColor rgb="FF57BB8A"/>
      </patternFill>
    </fill>
    <fill>
      <patternFill patternType="solid">
        <fgColor rgb="FFE67C73"/>
        <bgColor rgb="FFE67C73"/>
      </patternFill>
    </fill>
    <fill>
      <patternFill patternType="solid">
        <fgColor rgb="FFA8DCC2"/>
        <bgColor rgb="FFA8DCC2"/>
      </patternFill>
    </fill>
    <fill>
      <patternFill patternType="solid">
        <fgColor rgb="FF9DD8BB"/>
        <bgColor rgb="FF9DD8BB"/>
      </patternFill>
    </fill>
    <fill>
      <patternFill patternType="solid">
        <fgColor rgb="FF90D2B2"/>
        <bgColor rgb="FF90D2B2"/>
      </patternFill>
    </fill>
    <fill>
      <patternFill patternType="solid">
        <fgColor rgb="FFEFACA6"/>
        <bgColor rgb="FFEFACA6"/>
      </patternFill>
    </fill>
    <fill>
      <patternFill patternType="solid">
        <fgColor rgb="FFF7D9D7"/>
        <bgColor rgb="FFF7D9D7"/>
      </patternFill>
    </fill>
    <fill>
      <patternFill patternType="solid">
        <fgColor rgb="FFEEA7A1"/>
        <bgColor rgb="FFEEA7A1"/>
      </patternFill>
    </fill>
    <fill>
      <patternFill patternType="solid">
        <fgColor rgb="FFC2E7D5"/>
        <bgColor rgb="FFC2E7D5"/>
      </patternFill>
    </fill>
    <fill>
      <patternFill patternType="solid">
        <fgColor rgb="FF98D5B7"/>
        <bgColor rgb="FF98D5B7"/>
      </patternFill>
    </fill>
    <fill>
      <patternFill patternType="solid">
        <fgColor rgb="FFF0B2AD"/>
        <bgColor rgb="FFF0B2AD"/>
      </patternFill>
    </fill>
    <fill>
      <patternFill patternType="solid">
        <fgColor rgb="FFF7FCFA"/>
        <bgColor rgb="FFF7FCFA"/>
      </patternFill>
    </fill>
    <fill>
      <patternFill patternType="solid">
        <fgColor rgb="FFEB9790"/>
        <bgColor rgb="FFEB9790"/>
      </patternFill>
    </fill>
    <fill>
      <patternFill patternType="solid">
        <fgColor rgb="FFFAE5E4"/>
        <bgColor rgb="FFFAE5E4"/>
      </patternFill>
    </fill>
    <fill>
      <patternFill patternType="solid">
        <fgColor rgb="FFE98E86"/>
        <bgColor rgb="FFE98E86"/>
      </patternFill>
    </fill>
    <fill>
      <patternFill patternType="solid">
        <fgColor rgb="FFD3EDE0"/>
        <bgColor rgb="FFD3EDE0"/>
      </patternFill>
    </fill>
    <fill>
      <patternFill patternType="solid">
        <fgColor rgb="FFFBECEB"/>
        <bgColor rgb="FFFBECEB"/>
      </patternFill>
    </fill>
    <fill>
      <patternFill patternType="solid">
        <fgColor rgb="FFEEA6A0"/>
        <bgColor rgb="FFEEA6A0"/>
      </patternFill>
    </fill>
    <fill>
      <patternFill patternType="solid">
        <fgColor rgb="FFF0B4AE"/>
        <bgColor rgb="FFF0B4AE"/>
      </patternFill>
    </fill>
    <fill>
      <patternFill patternType="solid">
        <fgColor rgb="FFBBE4D0"/>
        <bgColor rgb="FFBBE4D0"/>
      </patternFill>
    </fill>
    <fill>
      <patternFill patternType="solid">
        <fgColor rgb="FFF2BBB6"/>
        <bgColor rgb="FFF2BBB6"/>
      </patternFill>
    </fill>
    <fill>
      <patternFill patternType="solid">
        <fgColor rgb="FFEC9C96"/>
        <bgColor rgb="FFEC9C96"/>
      </patternFill>
    </fill>
    <fill>
      <patternFill patternType="solid">
        <fgColor rgb="FFFDFFFE"/>
        <bgColor rgb="FFFDFFFE"/>
      </patternFill>
    </fill>
    <fill>
      <patternFill patternType="solid">
        <fgColor rgb="FF80CCA7"/>
        <bgColor rgb="FF80CCA7"/>
      </patternFill>
    </fill>
    <fill>
      <patternFill patternType="solid">
        <fgColor rgb="FFC1E6D4"/>
        <bgColor rgb="FFC1E6D4"/>
      </patternFill>
    </fill>
    <fill>
      <patternFill patternType="solid">
        <fgColor rgb="FFD1EDDF"/>
        <bgColor rgb="FFD1EDDF"/>
      </patternFill>
    </fill>
    <fill>
      <patternFill patternType="solid">
        <fgColor rgb="FFF2BCB8"/>
        <bgColor rgb="FFF2BCB8"/>
      </patternFill>
    </fill>
    <fill>
      <patternFill patternType="solid">
        <fgColor rgb="FFE7847B"/>
        <bgColor rgb="FFE7847B"/>
      </patternFill>
    </fill>
    <fill>
      <patternFill patternType="solid">
        <fgColor rgb="FFF2BDB8"/>
        <bgColor rgb="FFF2BDB8"/>
      </patternFill>
    </fill>
    <fill>
      <patternFill patternType="solid">
        <fgColor rgb="FFF0B1AC"/>
        <bgColor rgb="FFF0B1AC"/>
      </patternFill>
    </fill>
    <fill>
      <patternFill patternType="solid">
        <fgColor rgb="FFFCF3F2"/>
        <bgColor rgb="FFFCF3F2"/>
      </patternFill>
    </fill>
    <fill>
      <patternFill patternType="solid">
        <fgColor rgb="FFF3C2BE"/>
        <bgColor rgb="FFF3C2BE"/>
      </patternFill>
    </fill>
    <fill>
      <patternFill patternType="solid">
        <fgColor rgb="FFE7F5EE"/>
        <bgColor rgb="FFE7F5EE"/>
      </patternFill>
    </fill>
    <fill>
      <patternFill patternType="solid">
        <fgColor rgb="FFF1B6B1"/>
        <bgColor rgb="FFF1B6B1"/>
      </patternFill>
    </fill>
    <fill>
      <patternFill patternType="solid">
        <fgColor rgb="FFEDF8F3"/>
        <bgColor rgb="FFEDF8F3"/>
      </patternFill>
    </fill>
    <fill>
      <patternFill patternType="solid">
        <fgColor rgb="FFE98C84"/>
        <bgColor rgb="FFE98C84"/>
      </patternFill>
    </fill>
    <fill>
      <patternFill patternType="solid">
        <fgColor rgb="FFEEF8F3"/>
        <bgColor rgb="FFEEF8F3"/>
      </patternFill>
    </fill>
    <fill>
      <patternFill patternType="solid">
        <fgColor rgb="FFA1D9BE"/>
        <bgColor rgb="FFA1D9BE"/>
      </patternFill>
    </fill>
    <fill>
      <patternFill patternType="solid">
        <fgColor rgb="FFA7DCC2"/>
        <bgColor rgb="FFA7DCC2"/>
      </patternFill>
    </fill>
    <fill>
      <patternFill patternType="solid">
        <fgColor rgb="FFCAEADA"/>
        <bgColor rgb="FFCAEADA"/>
      </patternFill>
    </fill>
    <fill>
      <patternFill patternType="solid">
        <fgColor rgb="FFE99088"/>
        <bgColor rgb="FFE99088"/>
      </patternFill>
    </fill>
    <fill>
      <patternFill patternType="solid">
        <fgColor rgb="FFFBFDFC"/>
        <bgColor rgb="FFFBFDF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1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left"/>
    </xf>
    <xf borderId="4" fillId="0" fontId="2" numFmtId="164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0" fillId="0" fontId="2" numFmtId="2" xfId="0" applyAlignment="1" applyFont="1" applyNumberFormat="1">
      <alignment horizontal="center"/>
    </xf>
    <xf borderId="1" fillId="0" fontId="2" numFmtId="164" xfId="0" applyAlignment="1" applyBorder="1" applyFont="1" applyNumberFormat="1">
      <alignment horizontal="left" readingOrder="0"/>
    </xf>
    <xf borderId="0" fillId="0" fontId="2" numFmtId="0" xfId="0" applyFont="1"/>
    <xf borderId="0" fillId="3" fontId="2" numFmtId="2" xfId="0" applyAlignment="1" applyFill="1" applyFont="1" applyNumberFormat="1">
      <alignment horizontal="center"/>
    </xf>
    <xf borderId="0" fillId="0" fontId="4" numFmtId="0" xfId="0" applyAlignment="1" applyFont="1">
      <alignment horizontal="right" vertical="bottom"/>
    </xf>
    <xf borderId="1" fillId="4" fontId="5" numFmtId="2" xfId="0" applyAlignment="1" applyBorder="1" applyFill="1" applyFont="1" applyNumberFormat="1">
      <alignment horizontal="left" readingOrder="0" vertical="bottom"/>
    </xf>
    <xf borderId="2" fillId="4" fontId="5" numFmtId="2" xfId="0" applyAlignment="1" applyBorder="1" applyFill="1" applyFont="1" applyNumberFormat="1">
      <alignment horizontal="center" vertical="bottom"/>
    </xf>
    <xf borderId="3" fillId="4" fontId="5" numFmtId="2" xfId="0" applyAlignment="1" applyBorder="1" applyFill="1" applyFont="1" applyNumberFormat="1">
      <alignment horizontal="center" vertical="bottom"/>
    </xf>
    <xf borderId="4" fillId="4" fontId="5" numFmtId="2" xfId="0" applyAlignment="1" applyBorder="1" applyFill="1" applyFont="1" applyNumberFormat="1">
      <alignment horizontal="center" vertical="bottom"/>
    </xf>
    <xf borderId="0" fillId="4" fontId="5" numFmtId="2" xfId="0" applyAlignment="1" applyFill="1" applyFont="1" applyNumberFormat="1">
      <alignment horizontal="center" vertical="bottom"/>
    </xf>
    <xf borderId="5" fillId="4" fontId="5" numFmtId="2" xfId="0" applyAlignment="1" applyBorder="1" applyFill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center" vertical="bottom"/>
    </xf>
    <xf borderId="6" fillId="4" fontId="5" numFmtId="2" xfId="0" applyAlignment="1" applyBorder="1" applyFill="1" applyFont="1" applyNumberFormat="1">
      <alignment horizontal="center" vertical="bottom"/>
    </xf>
    <xf borderId="7" fillId="4" fontId="5" numFmtId="2" xfId="0" applyAlignment="1" applyBorder="1" applyFill="1" applyFont="1" applyNumberFormat="1">
      <alignment horizontal="center" vertical="bottom"/>
    </xf>
    <xf borderId="8" fillId="4" fontId="5" numFmtId="2" xfId="0" applyAlignment="1" applyBorder="1" applyFill="1" applyFont="1" applyNumberFormat="1">
      <alignment horizontal="center" vertical="bottom"/>
    </xf>
    <xf borderId="1" fillId="4" fontId="5" numFmtId="2" xfId="0" applyAlignment="1" applyBorder="1" applyFill="1" applyFont="1" applyNumberFormat="1">
      <alignment horizontal="center" vertical="bottom"/>
    </xf>
    <xf borderId="0" fillId="2" fontId="5" numFmtId="0" xfId="0" applyAlignment="1" applyFill="1" applyFont="1">
      <alignment readingOrder="0" vertical="bottom"/>
    </xf>
    <xf borderId="0" fillId="2" fontId="5" numFmtId="0" xfId="0" applyAlignment="1" applyFill="1" applyFont="1">
      <alignment vertical="bottom"/>
    </xf>
    <xf borderId="1" fillId="5" fontId="6" numFmtId="0" xfId="0" applyAlignment="1" applyBorder="1" applyFill="1" applyFont="1">
      <alignment horizontal="center" vertical="bottom"/>
    </xf>
    <xf borderId="2" fillId="6" fontId="6" numFmtId="0" xfId="0" applyAlignment="1" applyBorder="1" applyFill="1" applyFont="1">
      <alignment horizontal="center" vertical="bottom"/>
    </xf>
    <xf borderId="3" fillId="6" fontId="6" numFmtId="0" xfId="0" applyAlignment="1" applyBorder="1" applyFill="1" applyFont="1">
      <alignment horizontal="center" vertical="bottom"/>
    </xf>
    <xf borderId="2" fillId="0" fontId="2" numFmtId="1" xfId="0" applyAlignment="1" applyBorder="1" applyFont="1" applyNumberFormat="1">
      <alignment horizontal="center"/>
    </xf>
    <xf borderId="2" fillId="0" fontId="2" numFmtId="1" xfId="0" applyAlignment="1" applyBorder="1" applyFont="1" applyNumberFormat="1">
      <alignment horizontal="center" readingOrder="0"/>
    </xf>
    <xf borderId="3" fillId="0" fontId="2" numFmtId="1" xfId="0" applyAlignment="1" applyBorder="1" applyFont="1" applyNumberFormat="1">
      <alignment horizontal="center"/>
    </xf>
    <xf borderId="4" fillId="5" fontId="6" numFmtId="0" xfId="0" applyAlignment="1" applyBorder="1" applyFill="1" applyFont="1">
      <alignment horizontal="center" vertical="bottom"/>
    </xf>
    <xf borderId="0" fillId="5" fontId="6" numFmtId="0" xfId="0" applyAlignment="1" applyFill="1" applyFont="1">
      <alignment horizontal="center" vertical="bottom"/>
    </xf>
    <xf borderId="0" fillId="6" fontId="6" numFmtId="0" xfId="0" applyAlignment="1" applyFill="1" applyFont="1">
      <alignment horizontal="center" vertical="bottom"/>
    </xf>
    <xf borderId="5" fillId="6" fontId="6" numFmtId="0" xfId="0" applyAlignment="1" applyBorder="1" applyFill="1" applyFont="1">
      <alignment horizontal="center" vertical="bottom"/>
    </xf>
    <xf borderId="0" fillId="0" fontId="2" numFmtId="1" xfId="0" applyAlignment="1" applyFont="1" applyNumberFormat="1">
      <alignment horizontal="center" readingOrder="0"/>
    </xf>
    <xf borderId="0" fillId="0" fontId="2" numFmtId="1" xfId="0" applyAlignment="1" applyFont="1" applyNumberFormat="1">
      <alignment horizontal="center"/>
    </xf>
    <xf borderId="5" fillId="0" fontId="2" numFmtId="1" xfId="0" applyAlignment="1" applyBorder="1" applyFont="1" applyNumberFormat="1">
      <alignment horizontal="center"/>
    </xf>
    <xf borderId="6" fillId="5" fontId="6" numFmtId="0" xfId="0" applyAlignment="1" applyBorder="1" applyFill="1" applyFont="1">
      <alignment horizontal="center" vertical="bottom"/>
    </xf>
    <xf borderId="7" fillId="5" fontId="6" numFmtId="0" xfId="0" applyAlignment="1" applyBorder="1" applyFill="1" applyFont="1">
      <alignment horizontal="center" vertical="bottom"/>
    </xf>
    <xf borderId="8" fillId="5" fontId="6" numFmtId="0" xfId="0" applyAlignment="1" applyBorder="1" applyFill="1" applyFont="1">
      <alignment horizontal="center" vertical="bottom"/>
    </xf>
    <xf borderId="7" fillId="0" fontId="2" numFmtId="164" xfId="0" applyAlignment="1" applyBorder="1" applyFont="1" applyNumberFormat="1">
      <alignment horizontal="center" readingOrder="0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0" fillId="7" fontId="5" numFmtId="164" xfId="0" applyAlignment="1" applyFill="1" applyFont="1" applyNumberFormat="1">
      <alignment horizontal="center" vertical="bottom"/>
    </xf>
    <xf borderId="0" fillId="7" fontId="5" numFmtId="164" xfId="0" applyAlignment="1" applyFill="1" applyFont="1" applyNumberFormat="1">
      <alignment horizontal="left" vertical="bottom"/>
    </xf>
    <xf borderId="0" fillId="8" fontId="5" numFmtId="164" xfId="0" applyAlignment="1" applyFill="1" applyFont="1" applyNumberFormat="1">
      <alignment horizontal="center" vertical="bottom"/>
    </xf>
    <xf borderId="0" fillId="9" fontId="5" numFmtId="164" xfId="0" applyAlignment="1" applyFill="1" applyFont="1" applyNumberFormat="1">
      <alignment horizontal="center" vertical="bottom"/>
    </xf>
    <xf borderId="0" fillId="10" fontId="5" numFmtId="164" xfId="0" applyAlignment="1" applyFill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11" fontId="5" numFmtId="164" xfId="0" applyAlignment="1" applyFill="1" applyFont="1" applyNumberFormat="1">
      <alignment horizontal="center" vertical="bottom"/>
    </xf>
    <xf borderId="0" fillId="12" fontId="5" numFmtId="164" xfId="0" applyAlignment="1" applyFill="1" applyFont="1" applyNumberFormat="1">
      <alignment horizontal="left" vertical="bottom"/>
    </xf>
    <xf borderId="0" fillId="13" fontId="5" numFmtId="164" xfId="0" applyAlignment="1" applyFill="1" applyFont="1" applyNumberFormat="1">
      <alignment horizontal="center" vertical="bottom"/>
    </xf>
    <xf borderId="0" fillId="14" fontId="5" numFmtId="164" xfId="0" applyAlignment="1" applyFill="1" applyFont="1" applyNumberFormat="1">
      <alignment horizontal="center" vertical="bottom"/>
    </xf>
    <xf borderId="0" fillId="15" fontId="5" numFmtId="164" xfId="0" applyAlignment="1" applyFill="1" applyFont="1" applyNumberFormat="1">
      <alignment horizontal="center" vertical="bottom"/>
    </xf>
    <xf borderId="0" fillId="16" fontId="5" numFmtId="164" xfId="0" applyAlignment="1" applyFill="1" applyFont="1" applyNumberFormat="1">
      <alignment horizontal="center" vertical="bottom"/>
    </xf>
    <xf borderId="0" fillId="17" fontId="5" numFmtId="164" xfId="0" applyAlignment="1" applyFill="1" applyFont="1" applyNumberFormat="1">
      <alignment horizontal="left" vertical="bottom"/>
    </xf>
    <xf borderId="0" fillId="18" fontId="5" numFmtId="164" xfId="0" applyAlignment="1" applyFill="1" applyFont="1" applyNumberFormat="1">
      <alignment horizontal="center" vertical="bottom"/>
    </xf>
    <xf borderId="0" fillId="19" fontId="5" numFmtId="164" xfId="0" applyAlignment="1" applyFill="1" applyFont="1" applyNumberFormat="1">
      <alignment horizontal="center" vertical="bottom"/>
    </xf>
    <xf borderId="0" fillId="20" fontId="5" numFmtId="164" xfId="0" applyAlignment="1" applyFill="1" applyFont="1" applyNumberFormat="1">
      <alignment horizontal="center" vertical="bottom"/>
    </xf>
    <xf borderId="0" fillId="21" fontId="5" numFmtId="164" xfId="0" applyAlignment="1" applyFill="1" applyFont="1" applyNumberFormat="1">
      <alignment horizontal="center" vertical="bottom"/>
    </xf>
    <xf borderId="0" fillId="22" fontId="5" numFmtId="164" xfId="0" applyAlignment="1" applyFill="1" applyFont="1" applyNumberFormat="1">
      <alignment horizontal="left" vertical="bottom"/>
    </xf>
    <xf borderId="0" fillId="22" fontId="5" numFmtId="164" xfId="0" applyAlignment="1" applyFill="1" applyFont="1" applyNumberFormat="1">
      <alignment horizontal="center" vertical="bottom"/>
    </xf>
    <xf borderId="0" fillId="23" fontId="5" numFmtId="164" xfId="0" applyAlignment="1" applyFill="1" applyFont="1" applyNumberFormat="1">
      <alignment horizontal="center" vertical="bottom"/>
    </xf>
    <xf borderId="0" fillId="24" fontId="5" numFmtId="164" xfId="0" applyAlignment="1" applyFill="1" applyFont="1" applyNumberFormat="1">
      <alignment horizontal="center" vertical="bottom"/>
    </xf>
    <xf borderId="0" fillId="25" fontId="5" numFmtId="164" xfId="0" applyAlignment="1" applyFill="1" applyFont="1" applyNumberFormat="1">
      <alignment horizontal="left" vertical="bottom"/>
    </xf>
    <xf borderId="0" fillId="26" fontId="5" numFmtId="164" xfId="0" applyAlignment="1" applyFill="1" applyFont="1" applyNumberFormat="1">
      <alignment horizontal="center" vertical="bottom"/>
    </xf>
    <xf borderId="0" fillId="27" fontId="5" numFmtId="164" xfId="0" applyAlignment="1" applyFill="1" applyFont="1" applyNumberFormat="1">
      <alignment horizontal="center" vertical="bottom"/>
    </xf>
    <xf borderId="0" fillId="28" fontId="5" numFmtId="164" xfId="0" applyAlignment="1" applyFill="1" applyFont="1" applyNumberFormat="1">
      <alignment horizontal="center" vertical="bottom"/>
    </xf>
    <xf borderId="0" fillId="0" fontId="5" numFmtId="164" xfId="0" applyAlignment="1" applyFont="1" applyNumberFormat="1">
      <alignment vertical="bottom"/>
    </xf>
    <xf borderId="0" fillId="0" fontId="5" numFmtId="164" xfId="0" applyAlignment="1" applyFont="1" applyNumberFormat="1">
      <alignment horizontal="left" vertical="bottom"/>
    </xf>
    <xf borderId="0" fillId="10" fontId="5" numFmtId="2" xfId="0" applyAlignment="1" applyFill="1" applyFont="1" applyNumberFormat="1">
      <alignment horizontal="center"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left" readingOrder="0" vertical="bottom"/>
    </xf>
    <xf borderId="0" fillId="0" fontId="7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left"/>
    </xf>
    <xf borderId="1" fillId="21" fontId="5" numFmtId="164" xfId="0" applyAlignment="1" applyBorder="1" applyFill="1" applyFont="1" applyNumberFormat="1">
      <alignment horizontal="center" vertical="bottom"/>
    </xf>
    <xf borderId="2" fillId="21" fontId="5" numFmtId="164" xfId="0" applyAlignment="1" applyBorder="1" applyFill="1" applyFont="1" applyNumberFormat="1">
      <alignment horizontal="center" vertical="bottom"/>
    </xf>
    <xf borderId="3" fillId="21" fontId="5" numFmtId="164" xfId="0" applyAlignment="1" applyBorder="1" applyFill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/>
    </xf>
    <xf borderId="2" fillId="0" fontId="2" numFmtId="165" xfId="0" applyAlignment="1" applyBorder="1" applyFont="1" applyNumberFormat="1">
      <alignment horizontal="center"/>
    </xf>
    <xf borderId="3" fillId="0" fontId="2" numFmtId="165" xfId="0" applyAlignment="1" applyBorder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4" fillId="21" fontId="5" numFmtId="164" xfId="0" applyAlignment="1" applyBorder="1" applyFill="1" applyFont="1" applyNumberFormat="1">
      <alignment horizontal="center" vertical="bottom"/>
    </xf>
    <xf borderId="5" fillId="21" fontId="5" numFmtId="164" xfId="0" applyAlignment="1" applyBorder="1" applyFill="1" applyFont="1" applyNumberFormat="1">
      <alignment horizontal="center" vertical="bottom"/>
    </xf>
    <xf borderId="4" fillId="0" fontId="2" numFmtId="165" xfId="0" applyAlignment="1" applyBorder="1" applyFont="1" applyNumberFormat="1">
      <alignment horizontal="center"/>
    </xf>
    <xf borderId="5" fillId="0" fontId="2" numFmtId="165" xfId="0" applyAlignment="1" applyBorder="1" applyFont="1" applyNumberFormat="1">
      <alignment horizontal="center"/>
    </xf>
    <xf borderId="6" fillId="21" fontId="5" numFmtId="164" xfId="0" applyAlignment="1" applyBorder="1" applyFill="1" applyFont="1" applyNumberFormat="1">
      <alignment horizontal="center" vertical="bottom"/>
    </xf>
    <xf borderId="7" fillId="21" fontId="5" numFmtId="164" xfId="0" applyAlignment="1" applyBorder="1" applyFill="1" applyFont="1" applyNumberFormat="1">
      <alignment horizontal="center" vertical="bottom"/>
    </xf>
    <xf borderId="8" fillId="21" fontId="5" numFmtId="164" xfId="0" applyAlignment="1" applyBorder="1" applyFill="1" applyFont="1" applyNumberFormat="1">
      <alignment horizontal="center" vertical="bottom"/>
    </xf>
    <xf borderId="6" fillId="0" fontId="2" numFmtId="165" xfId="0" applyAlignment="1" applyBorder="1" applyFont="1" applyNumberFormat="1">
      <alignment horizontal="center"/>
    </xf>
    <xf borderId="7" fillId="0" fontId="2" numFmtId="165" xfId="0" applyAlignment="1" applyBorder="1" applyFont="1" applyNumberFormat="1">
      <alignment horizontal="center"/>
    </xf>
    <xf borderId="8" fillId="0" fontId="2" numFmtId="165" xfId="0" applyAlignment="1" applyBorder="1" applyFont="1" applyNumberFormat="1">
      <alignment horizontal="center"/>
    </xf>
    <xf borderId="1" fillId="9" fontId="5" numFmtId="164" xfId="0" applyAlignment="1" applyBorder="1" applyFill="1" applyFont="1" applyNumberFormat="1">
      <alignment horizontal="center" vertical="bottom"/>
    </xf>
    <xf borderId="2" fillId="29" fontId="5" numFmtId="164" xfId="0" applyAlignment="1" applyBorder="1" applyFill="1" applyFont="1" applyNumberFormat="1">
      <alignment horizontal="center" vertical="bottom"/>
    </xf>
    <xf borderId="2" fillId="30" fontId="5" numFmtId="164" xfId="0" applyAlignment="1" applyBorder="1" applyFill="1" applyFont="1" applyNumberFormat="1">
      <alignment horizontal="center" vertical="bottom"/>
    </xf>
    <xf borderId="2" fillId="31" fontId="5" numFmtId="164" xfId="0" applyAlignment="1" applyBorder="1" applyFill="1" applyFont="1" applyNumberFormat="1">
      <alignment horizontal="center" vertical="bottom"/>
    </xf>
    <xf borderId="3" fillId="32" fontId="5" numFmtId="164" xfId="0" applyAlignment="1" applyBorder="1" applyFill="1" applyFont="1" applyNumberFormat="1">
      <alignment horizontal="center" vertical="bottom"/>
    </xf>
    <xf borderId="1" fillId="33" fontId="5" numFmtId="165" xfId="0" applyAlignment="1" applyBorder="1" applyFill="1" applyFont="1" applyNumberFormat="1">
      <alignment horizontal="center" vertical="bottom"/>
    </xf>
    <xf borderId="2" fillId="34" fontId="5" numFmtId="165" xfId="0" applyAlignment="1" applyBorder="1" applyFill="1" applyFont="1" applyNumberFormat="1">
      <alignment horizontal="center" vertical="bottom"/>
    </xf>
    <xf borderId="2" fillId="35" fontId="5" numFmtId="165" xfId="0" applyAlignment="1" applyBorder="1" applyFill="1" applyFont="1" applyNumberFormat="1">
      <alignment horizontal="center" vertical="bottom"/>
    </xf>
    <xf borderId="2" fillId="36" fontId="5" numFmtId="165" xfId="0" applyAlignment="1" applyBorder="1" applyFill="1" applyFont="1" applyNumberFormat="1">
      <alignment horizontal="center" vertical="bottom"/>
    </xf>
    <xf borderId="3" fillId="37" fontId="5" numFmtId="165" xfId="0" applyAlignment="1" applyBorder="1" applyFill="1" applyFont="1" applyNumberFormat="1">
      <alignment horizontal="center" vertical="bottom"/>
    </xf>
    <xf borderId="4" fillId="38" fontId="5" numFmtId="164" xfId="0" applyAlignment="1" applyBorder="1" applyFill="1" applyFont="1" applyNumberFormat="1">
      <alignment horizontal="center" vertical="bottom"/>
    </xf>
    <xf borderId="0" fillId="37" fontId="5" numFmtId="165" xfId="0" applyAlignment="1" applyFill="1" applyFont="1" applyNumberFormat="1">
      <alignment horizontal="center" vertical="bottom"/>
    </xf>
    <xf borderId="0" fillId="39" fontId="5" numFmtId="164" xfId="0" applyAlignment="1" applyFill="1" applyFont="1" applyNumberFormat="1">
      <alignment horizontal="center" vertical="bottom"/>
    </xf>
    <xf borderId="0" fillId="40" fontId="5" numFmtId="164" xfId="0" applyAlignment="1" applyFill="1" applyFont="1" applyNumberFormat="1">
      <alignment horizontal="center" vertical="bottom"/>
    </xf>
    <xf borderId="0" fillId="41" fontId="5" numFmtId="164" xfId="0" applyAlignment="1" applyFill="1" applyFont="1" applyNumberFormat="1">
      <alignment horizontal="center" vertical="bottom"/>
    </xf>
    <xf borderId="5" fillId="4" fontId="5" numFmtId="164" xfId="0" applyAlignment="1" applyBorder="1" applyFill="1" applyFont="1" applyNumberFormat="1">
      <alignment horizontal="center" vertical="bottom"/>
    </xf>
    <xf borderId="4" fillId="42" fontId="5" numFmtId="165" xfId="0" applyAlignment="1" applyBorder="1" applyFill="1" applyFont="1" applyNumberFormat="1">
      <alignment horizontal="center" vertical="bottom"/>
    </xf>
    <xf borderId="0" fillId="43" fontId="5" numFmtId="165" xfId="0" applyAlignment="1" applyFill="1" applyFont="1" applyNumberFormat="1">
      <alignment horizontal="center" vertical="bottom"/>
    </xf>
    <xf borderId="0" fillId="44" fontId="5" numFmtId="165" xfId="0" applyAlignment="1" applyFill="1" applyFont="1" applyNumberFormat="1">
      <alignment horizontal="center" vertical="bottom"/>
    </xf>
    <xf borderId="0" fillId="45" fontId="5" numFmtId="165" xfId="0" applyAlignment="1" applyFill="1" applyFont="1" applyNumberFormat="1">
      <alignment horizontal="center" vertical="bottom"/>
    </xf>
    <xf borderId="5" fillId="46" fontId="5" numFmtId="165" xfId="0" applyAlignment="1" applyBorder="1" applyFill="1" applyFont="1" applyNumberFormat="1">
      <alignment horizontal="center" vertical="bottom"/>
    </xf>
    <xf borderId="0" fillId="46" fontId="5" numFmtId="165" xfId="0" applyAlignment="1" applyFill="1" applyFont="1" applyNumberFormat="1">
      <alignment horizontal="center" vertical="bottom"/>
    </xf>
    <xf borderId="4" fillId="47" fontId="5" numFmtId="164" xfId="0" applyAlignment="1" applyBorder="1" applyFill="1" applyFont="1" applyNumberFormat="1">
      <alignment horizontal="center" vertical="bottom"/>
    </xf>
    <xf borderId="0" fillId="48" fontId="5" numFmtId="164" xfId="0" applyAlignment="1" applyFill="1" applyFont="1" applyNumberFormat="1">
      <alignment horizontal="center" vertical="bottom"/>
    </xf>
    <xf borderId="0" fillId="49" fontId="5" numFmtId="164" xfId="0" applyAlignment="1" applyFill="1" applyFont="1" applyNumberFormat="1">
      <alignment horizontal="center" vertical="bottom"/>
    </xf>
    <xf borderId="5" fillId="50" fontId="5" numFmtId="164" xfId="0" applyAlignment="1" applyBorder="1" applyFill="1" applyFont="1" applyNumberFormat="1">
      <alignment horizontal="center" vertical="bottom"/>
    </xf>
    <xf borderId="4" fillId="37" fontId="5" numFmtId="165" xfId="0" applyAlignment="1" applyBorder="1" applyFill="1" applyFont="1" applyNumberFormat="1">
      <alignment horizontal="center" vertical="bottom"/>
    </xf>
    <xf borderId="0" fillId="51" fontId="5" numFmtId="165" xfId="0" applyAlignment="1" applyFill="1" applyFont="1" applyNumberFormat="1">
      <alignment horizontal="center" vertical="bottom"/>
    </xf>
    <xf borderId="0" fillId="52" fontId="5" numFmtId="165" xfId="0" applyAlignment="1" applyFill="1" applyFont="1" applyNumberFormat="1">
      <alignment horizontal="center" vertical="bottom"/>
    </xf>
    <xf borderId="0" fillId="53" fontId="5" numFmtId="165" xfId="0" applyAlignment="1" applyFill="1" applyFont="1" applyNumberFormat="1">
      <alignment horizontal="center" vertical="bottom"/>
    </xf>
    <xf borderId="5" fillId="54" fontId="5" numFmtId="165" xfId="0" applyAlignment="1" applyBorder="1" applyFill="1" applyFont="1" applyNumberFormat="1">
      <alignment horizontal="center" vertical="bottom"/>
    </xf>
    <xf borderId="0" fillId="54" fontId="5" numFmtId="165" xfId="0" applyAlignment="1" applyFill="1" applyFont="1" applyNumberFormat="1">
      <alignment horizontal="center" vertical="bottom"/>
    </xf>
    <xf borderId="4" fillId="55" fontId="5" numFmtId="164" xfId="0" applyAlignment="1" applyBorder="1" applyFill="1" applyFont="1" applyNumberFormat="1">
      <alignment horizontal="center" vertical="bottom"/>
    </xf>
    <xf borderId="0" fillId="56" fontId="5" numFmtId="164" xfId="0" applyAlignment="1" applyFill="1" applyFont="1" applyNumberFormat="1">
      <alignment horizontal="center" vertical="bottom"/>
    </xf>
    <xf borderId="0" fillId="57" fontId="5" numFmtId="164" xfId="0" applyAlignment="1" applyFill="1" applyFont="1" applyNumberFormat="1">
      <alignment horizontal="center" vertical="bottom"/>
    </xf>
    <xf borderId="5" fillId="24" fontId="5" numFmtId="164" xfId="0" applyAlignment="1" applyBorder="1" applyFill="1" applyFont="1" applyNumberFormat="1">
      <alignment horizontal="center" vertical="bottom"/>
    </xf>
    <xf borderId="4" fillId="58" fontId="5" numFmtId="165" xfId="0" applyAlignment="1" applyBorder="1" applyFill="1" applyFont="1" applyNumberFormat="1">
      <alignment horizontal="center" vertical="bottom"/>
    </xf>
    <xf borderId="0" fillId="59" fontId="5" numFmtId="165" xfId="0" applyAlignment="1" applyFill="1" applyFont="1" applyNumberFormat="1">
      <alignment horizontal="center" vertical="bottom"/>
    </xf>
    <xf borderId="0" fillId="60" fontId="5" numFmtId="165" xfId="0" applyAlignment="1" applyFill="1" applyFont="1" applyNumberFormat="1">
      <alignment horizontal="center" vertical="bottom"/>
    </xf>
    <xf borderId="0" fillId="61" fontId="5" numFmtId="165" xfId="0" applyAlignment="1" applyFill="1" applyFont="1" applyNumberFormat="1">
      <alignment horizontal="center" vertical="bottom"/>
    </xf>
    <xf borderId="5" fillId="62" fontId="5" numFmtId="165" xfId="0" applyAlignment="1" applyBorder="1" applyFill="1" applyFont="1" applyNumberFormat="1">
      <alignment horizontal="center" vertical="bottom"/>
    </xf>
    <xf borderId="0" fillId="62" fontId="5" numFmtId="165" xfId="0" applyAlignment="1" applyFill="1" applyFont="1" applyNumberFormat="1">
      <alignment horizontal="center" vertical="bottom"/>
    </xf>
    <xf borderId="6" fillId="63" fontId="5" numFmtId="164" xfId="0" applyAlignment="1" applyBorder="1" applyFill="1" applyFont="1" applyNumberFormat="1">
      <alignment horizontal="center" vertical="bottom"/>
    </xf>
    <xf borderId="7" fillId="64" fontId="5" numFmtId="164" xfId="0" applyAlignment="1" applyBorder="1" applyFill="1" applyFont="1" applyNumberFormat="1">
      <alignment horizontal="center" vertical="bottom"/>
    </xf>
    <xf borderId="7" fillId="65" fontId="5" numFmtId="164" xfId="0" applyAlignment="1" applyBorder="1" applyFill="1" applyFont="1" applyNumberFormat="1">
      <alignment horizontal="center" vertical="bottom"/>
    </xf>
    <xf borderId="7" fillId="66" fontId="5" numFmtId="164" xfId="0" applyAlignment="1" applyBorder="1" applyFill="1" applyFont="1" applyNumberFormat="1">
      <alignment horizontal="center" vertical="bottom"/>
    </xf>
    <xf borderId="8" fillId="39" fontId="5" numFmtId="164" xfId="0" applyAlignment="1" applyBorder="1" applyFill="1" applyFont="1" applyNumberFormat="1">
      <alignment horizontal="center" vertical="bottom"/>
    </xf>
    <xf borderId="6" fillId="67" fontId="5" numFmtId="165" xfId="0" applyAlignment="1" applyBorder="1" applyFill="1" applyFont="1" applyNumberFormat="1">
      <alignment horizontal="center" vertical="bottom"/>
    </xf>
    <xf borderId="7" fillId="68" fontId="5" numFmtId="165" xfId="0" applyAlignment="1" applyBorder="1" applyFill="1" applyFont="1" applyNumberFormat="1">
      <alignment horizontal="center" vertical="bottom"/>
    </xf>
    <xf borderId="7" fillId="69" fontId="5" numFmtId="165" xfId="0" applyAlignment="1" applyBorder="1" applyFill="1" applyFont="1" applyNumberFormat="1">
      <alignment horizontal="center" vertical="bottom"/>
    </xf>
    <xf borderId="7" fillId="18" fontId="5" numFmtId="165" xfId="0" applyAlignment="1" applyBorder="1" applyFill="1" applyFont="1" applyNumberFormat="1">
      <alignment horizontal="center" vertical="bottom"/>
    </xf>
    <xf borderId="8" fillId="70" fontId="5" numFmtId="165" xfId="0" applyAlignment="1" applyBorder="1" applyFill="1" applyFont="1" applyNumberFormat="1">
      <alignment horizontal="center" vertical="bottom"/>
    </xf>
    <xf borderId="0" fillId="70" fontId="5" numFmtId="165" xfId="0" applyAlignment="1" applyFill="1" applyFont="1" applyNumberFormat="1">
      <alignment horizontal="center" vertical="bottom"/>
    </xf>
    <xf borderId="1" fillId="0" fontId="5" numFmtId="2" xfId="0" applyAlignment="1" applyBorder="1" applyFont="1" applyNumberFormat="1">
      <alignment horizontal="center" vertical="bottom"/>
    </xf>
    <xf borderId="2" fillId="0" fontId="5" numFmtId="2" xfId="0" applyAlignment="1" applyBorder="1" applyFont="1" applyNumberFormat="1">
      <alignment horizontal="center" vertical="bottom"/>
    </xf>
    <xf borderId="3" fillId="0" fontId="5" numFmtId="2" xfId="0" applyAlignment="1" applyBorder="1" applyFont="1" applyNumberFormat="1">
      <alignment horizontal="center" vertical="bottom"/>
    </xf>
    <xf borderId="4" fillId="0" fontId="5" numFmtId="2" xfId="0" applyAlignment="1" applyBorder="1" applyFont="1" applyNumberFormat="1">
      <alignment horizontal="center" vertical="bottom"/>
    </xf>
    <xf borderId="0" fillId="0" fontId="5" numFmtId="2" xfId="0" applyAlignment="1" applyFont="1" applyNumberFormat="1">
      <alignment horizontal="center" vertical="bottom"/>
    </xf>
    <xf borderId="5" fillId="0" fontId="5" numFmtId="2" xfId="0" applyAlignment="1" applyBorder="1" applyFont="1" applyNumberFormat="1">
      <alignment horizontal="center" vertical="bottom"/>
    </xf>
    <xf borderId="6" fillId="0" fontId="5" numFmtId="2" xfId="0" applyAlignment="1" applyBorder="1" applyFont="1" applyNumberFormat="1">
      <alignment horizontal="center" vertical="bottom"/>
    </xf>
    <xf borderId="7" fillId="0" fontId="5" numFmtId="2" xfId="0" applyAlignment="1" applyBorder="1" applyFont="1" applyNumberFormat="1">
      <alignment horizontal="center" vertical="bottom"/>
    </xf>
    <xf borderId="8" fillId="0" fontId="5" numFmtId="2" xfId="0" applyAlignment="1" applyBorder="1" applyFont="1" applyNumberFormat="1">
      <alignment horizontal="center" vertical="bottom"/>
    </xf>
    <xf borderId="0" fillId="0" fontId="4" numFmtId="0" xfId="0" applyAlignment="1" applyFont="1">
      <alignment readingOrder="0" vertical="bottom"/>
    </xf>
    <xf borderId="1" fillId="31" fontId="5" numFmtId="164" xfId="0" applyAlignment="1" applyBorder="1" applyFill="1" applyFont="1" applyNumberFormat="1">
      <alignment horizontal="center" vertical="bottom"/>
    </xf>
    <xf borderId="3" fillId="31" fontId="5" numFmtId="164" xfId="0" applyAlignment="1" applyBorder="1" applyFill="1" applyFont="1" applyNumberFormat="1">
      <alignment horizontal="center" vertical="bottom"/>
    </xf>
    <xf borderId="4" fillId="31" fontId="5" numFmtId="164" xfId="0" applyAlignment="1" applyBorder="1" applyFill="1" applyFont="1" applyNumberFormat="1">
      <alignment horizontal="center" vertical="bottom"/>
    </xf>
    <xf borderId="0" fillId="31" fontId="5" numFmtId="164" xfId="0" applyAlignment="1" applyFill="1" applyFont="1" applyNumberFormat="1">
      <alignment horizontal="center" vertical="bottom"/>
    </xf>
    <xf borderId="5" fillId="31" fontId="5" numFmtId="164" xfId="0" applyAlignment="1" applyBorder="1" applyFill="1" applyFont="1" applyNumberFormat="1">
      <alignment horizontal="center" vertical="bottom"/>
    </xf>
    <xf borderId="6" fillId="31" fontId="5" numFmtId="164" xfId="0" applyAlignment="1" applyBorder="1" applyFill="1" applyFont="1" applyNumberFormat="1">
      <alignment horizontal="center" vertical="bottom"/>
    </xf>
    <xf borderId="7" fillId="31" fontId="5" numFmtId="164" xfId="0" applyAlignment="1" applyBorder="1" applyFill="1" applyFont="1" applyNumberFormat="1">
      <alignment horizontal="center" vertical="bottom"/>
    </xf>
    <xf borderId="8" fillId="31" fontId="5" numFmtId="164" xfId="0" applyAlignment="1" applyBorder="1" applyFill="1" applyFont="1" applyNumberFormat="1">
      <alignment horizontal="center" vertical="bottom"/>
    </xf>
    <xf borderId="1" fillId="0" fontId="5" numFmtId="164" xfId="0" applyAlignment="1" applyBorder="1" applyFont="1" applyNumberFormat="1">
      <alignment horizontal="center" readingOrder="0" vertical="bottom"/>
    </xf>
    <xf borderId="0" fillId="0" fontId="2" numFmtId="164" xfId="0" applyFont="1" applyNumberFormat="1"/>
    <xf borderId="0" fillId="7" fontId="2" numFmtId="0" xfId="0" applyAlignment="1" applyFill="1" applyFont="1">
      <alignment horizontal="left"/>
    </xf>
    <xf borderId="0" fillId="0" fontId="8" numFmtId="0" xfId="0" applyAlignment="1" applyFont="1">
      <alignment horizontal="right" readingOrder="0"/>
    </xf>
    <xf borderId="0" fillId="0" fontId="9" numFmtId="0" xfId="0" applyAlignment="1" applyFont="1">
      <alignment horizontal="left" readingOrder="0"/>
    </xf>
    <xf borderId="0" fillId="0" fontId="1" numFmtId="0" xfId="0" applyAlignment="1" applyFont="1">
      <alignment horizontal="right" readingOrder="0" shrinkToFit="0" vertical="top" wrapText="1"/>
    </xf>
    <xf borderId="0" fillId="0" fontId="10" numFmtId="0" xfId="0" applyAlignment="1" applyFont="1">
      <alignment horizontal="center" readingOrder="0"/>
    </xf>
    <xf borderId="1" fillId="71" fontId="5" numFmtId="164" xfId="0" applyAlignment="1" applyBorder="1" applyFill="1" applyFont="1" applyNumberFormat="1">
      <alignment horizontal="center" vertical="bottom"/>
    </xf>
    <xf borderId="2" fillId="72" fontId="5" numFmtId="164" xfId="0" applyAlignment="1" applyBorder="1" applyFill="1" applyFont="1" applyNumberFormat="1">
      <alignment horizontal="center" vertical="bottom"/>
    </xf>
    <xf borderId="2" fillId="73" fontId="5" numFmtId="164" xfId="0" applyAlignment="1" applyBorder="1" applyFill="1" applyFont="1" applyNumberFormat="1">
      <alignment horizontal="center" vertical="bottom"/>
    </xf>
    <xf borderId="2" fillId="69" fontId="5" numFmtId="164" xfId="0" applyAlignment="1" applyBorder="1" applyFill="1" applyFont="1" applyNumberFormat="1">
      <alignment horizontal="center" vertical="bottom"/>
    </xf>
    <xf borderId="2" fillId="74" fontId="5" numFmtId="164" xfId="0" applyAlignment="1" applyBorder="1" applyFill="1" applyFont="1" applyNumberFormat="1">
      <alignment horizontal="center" vertical="bottom"/>
    </xf>
    <xf borderId="2" fillId="71" fontId="5" numFmtId="164" xfId="0" applyAlignment="1" applyBorder="1" applyFill="1" applyFont="1" applyNumberFormat="1">
      <alignment horizontal="center" vertical="bottom"/>
    </xf>
    <xf borderId="3" fillId="74" fontId="5" numFmtId="164" xfId="0" applyAlignment="1" applyBorder="1" applyFill="1" applyFont="1" applyNumberFormat="1">
      <alignment horizontal="center" vertical="bottom"/>
    </xf>
    <xf borderId="4" fillId="75" fontId="5" numFmtId="164" xfId="0" applyAlignment="1" applyBorder="1" applyFill="1" applyFont="1" applyNumberFormat="1">
      <alignment horizontal="center" vertical="bottom"/>
    </xf>
    <xf borderId="0" fillId="76" fontId="5" numFmtId="164" xfId="0" applyAlignment="1" applyFill="1" applyFont="1" applyNumberFormat="1">
      <alignment horizontal="center" vertical="bottom"/>
    </xf>
    <xf borderId="0" fillId="77" fontId="5" numFmtId="164" xfId="0" applyAlignment="1" applyFill="1" applyFont="1" applyNumberFormat="1">
      <alignment horizontal="center" vertical="bottom"/>
    </xf>
    <xf borderId="0" fillId="78" fontId="5" numFmtId="164" xfId="0" applyAlignment="1" applyFill="1" applyFont="1" applyNumberFormat="1">
      <alignment horizontal="center" vertical="bottom"/>
    </xf>
    <xf borderId="0" fillId="75" fontId="5" numFmtId="164" xfId="0" applyAlignment="1" applyFill="1" applyFont="1" applyNumberFormat="1">
      <alignment horizontal="center" vertical="bottom"/>
    </xf>
    <xf borderId="5" fillId="78" fontId="5" numFmtId="164" xfId="0" applyAlignment="1" applyBorder="1" applyFill="1" applyFont="1" applyNumberFormat="1">
      <alignment horizontal="center" vertical="bottom"/>
    </xf>
    <xf borderId="4" fillId="79" fontId="5" numFmtId="164" xfId="0" applyAlignment="1" applyBorder="1" applyFill="1" applyFont="1" applyNumberFormat="1">
      <alignment horizontal="center" vertical="bottom"/>
    </xf>
    <xf borderId="0" fillId="80" fontId="5" numFmtId="164" xfId="0" applyAlignment="1" applyFill="1" applyFont="1" applyNumberFormat="1">
      <alignment horizontal="center" vertical="bottom"/>
    </xf>
    <xf borderId="0" fillId="81" fontId="5" numFmtId="164" xfId="0" applyAlignment="1" applyFill="1" applyFont="1" applyNumberFormat="1">
      <alignment horizontal="center" vertical="bottom"/>
    </xf>
    <xf borderId="0" fillId="70" fontId="5" numFmtId="164" xfId="0" applyAlignment="1" applyFill="1" applyFont="1" applyNumberFormat="1">
      <alignment horizontal="center" vertical="bottom"/>
    </xf>
    <xf borderId="0" fillId="82" fontId="5" numFmtId="164" xfId="0" applyAlignment="1" applyFill="1" applyFont="1" applyNumberFormat="1">
      <alignment horizontal="center" vertical="bottom"/>
    </xf>
    <xf borderId="0" fillId="79" fontId="5" numFmtId="164" xfId="0" applyAlignment="1" applyFill="1" applyFont="1" applyNumberFormat="1">
      <alignment horizontal="center" vertical="bottom"/>
    </xf>
    <xf borderId="5" fillId="82" fontId="5" numFmtId="164" xfId="0" applyAlignment="1" applyBorder="1" applyFill="1" applyFont="1" applyNumberFormat="1">
      <alignment horizontal="center" vertical="bottom"/>
    </xf>
    <xf borderId="4" fillId="83" fontId="5" numFmtId="164" xfId="0" applyAlignment="1" applyBorder="1" applyFill="1" applyFont="1" applyNumberFormat="1">
      <alignment horizontal="center" vertical="bottom"/>
    </xf>
    <xf borderId="0" fillId="84" fontId="5" numFmtId="164" xfId="0" applyAlignment="1" applyFill="1" applyFont="1" applyNumberFormat="1">
      <alignment horizontal="center" vertical="bottom"/>
    </xf>
    <xf borderId="0" fillId="85" fontId="5" numFmtId="164" xfId="0" applyAlignment="1" applyFill="1" applyFont="1" applyNumberFormat="1">
      <alignment horizontal="center" vertical="bottom"/>
    </xf>
    <xf borderId="0" fillId="86" fontId="5" numFmtId="164" xfId="0" applyAlignment="1" applyFill="1" applyFont="1" applyNumberFormat="1">
      <alignment horizontal="center" vertical="bottom"/>
    </xf>
    <xf borderId="0" fillId="83" fontId="5" numFmtId="164" xfId="0" applyAlignment="1" applyFill="1" applyFont="1" applyNumberFormat="1">
      <alignment horizontal="center" vertical="bottom"/>
    </xf>
    <xf borderId="5" fillId="19" fontId="5" numFmtId="164" xfId="0" applyAlignment="1" applyBorder="1" applyFill="1" applyFont="1" applyNumberFormat="1">
      <alignment horizontal="center" vertical="bottom"/>
    </xf>
    <xf borderId="6" fillId="7" fontId="5" numFmtId="164" xfId="0" applyAlignment="1" applyBorder="1" applyFill="1" applyFont="1" applyNumberFormat="1">
      <alignment horizontal="center" vertical="bottom"/>
    </xf>
    <xf borderId="7" fillId="87" fontId="5" numFmtId="164" xfId="0" applyAlignment="1" applyBorder="1" applyFill="1" applyFont="1" applyNumberFormat="1">
      <alignment horizontal="center" vertical="bottom"/>
    </xf>
    <xf borderId="7" fillId="7" fontId="5" numFmtId="164" xfId="0" applyAlignment="1" applyBorder="1" applyFill="1" applyFont="1" applyNumberFormat="1">
      <alignment horizontal="center" vertical="bottom"/>
    </xf>
    <xf borderId="7" fillId="88" fontId="5" numFmtId="164" xfId="0" applyAlignment="1" applyBorder="1" applyFill="1" applyFont="1" applyNumberFormat="1">
      <alignment horizontal="center" vertical="bottom"/>
    </xf>
    <xf borderId="7" fillId="89" fontId="5" numFmtId="164" xfId="0" applyAlignment="1" applyBorder="1" applyFill="1" applyFont="1" applyNumberFormat="1">
      <alignment horizontal="center" vertical="bottom"/>
    </xf>
    <xf borderId="8" fillId="89" fontId="5" numFmtId="164" xfId="0" applyAlignment="1" applyBorder="1" applyFill="1" applyFont="1" applyNumberFormat="1">
      <alignment horizontal="center" vertical="bottom"/>
    </xf>
    <xf borderId="1" fillId="90" fontId="5" numFmtId="164" xfId="0" applyAlignment="1" applyBorder="1" applyFill="1" applyFont="1" applyNumberFormat="1">
      <alignment horizontal="center" vertical="bottom"/>
    </xf>
    <xf borderId="2" fillId="91" fontId="5" numFmtId="164" xfId="0" applyAlignment="1" applyBorder="1" applyFill="1" applyFont="1" applyNumberFormat="1">
      <alignment horizontal="center" vertical="bottom"/>
    </xf>
    <xf borderId="2" fillId="92" fontId="5" numFmtId="164" xfId="0" applyAlignment="1" applyBorder="1" applyFill="1" applyFont="1" applyNumberFormat="1">
      <alignment horizontal="center" vertical="bottom"/>
    </xf>
    <xf borderId="2" fillId="7" fontId="5" numFmtId="164" xfId="0" applyAlignment="1" applyBorder="1" applyFill="1" applyFont="1" applyNumberFormat="1">
      <alignment horizontal="center" vertical="bottom"/>
    </xf>
    <xf borderId="3" fillId="69" fontId="5" numFmtId="164" xfId="0" applyAlignment="1" applyBorder="1" applyFill="1" applyFont="1" applyNumberFormat="1">
      <alignment horizontal="center" vertical="bottom"/>
    </xf>
    <xf borderId="1" fillId="0" fontId="5" numFmtId="164" xfId="0" applyAlignment="1" applyBorder="1" applyFont="1" applyNumberFormat="1">
      <alignment vertical="bottom"/>
    </xf>
    <xf borderId="2" fillId="0" fontId="5" numFmtId="164" xfId="0" applyAlignment="1" applyBorder="1" applyFont="1" applyNumberFormat="1">
      <alignment vertical="bottom"/>
    </xf>
    <xf borderId="3" fillId="0" fontId="5" numFmtId="164" xfId="0" applyAlignment="1" applyBorder="1" applyFont="1" applyNumberFormat="1">
      <alignment vertical="bottom"/>
    </xf>
    <xf borderId="4" fillId="93" fontId="5" numFmtId="164" xfId="0" applyAlignment="1" applyBorder="1" applyFill="1" applyFont="1" applyNumberFormat="1">
      <alignment horizontal="center" vertical="bottom"/>
    </xf>
    <xf borderId="0" fillId="94" fontId="5" numFmtId="164" xfId="0" applyAlignment="1" applyFill="1" applyFont="1" applyNumberFormat="1">
      <alignment horizontal="center" vertical="bottom"/>
    </xf>
    <xf borderId="0" fillId="95" fontId="5" numFmtId="164" xfId="0" applyAlignment="1" applyFill="1" applyFont="1" applyNumberFormat="1">
      <alignment horizontal="center" vertical="bottom"/>
    </xf>
    <xf borderId="0" fillId="96" fontId="5" numFmtId="164" xfId="0" applyAlignment="1" applyFill="1" applyFont="1" applyNumberFormat="1">
      <alignment horizontal="center" vertical="bottom"/>
    </xf>
    <xf borderId="5" fillId="97" fontId="5" numFmtId="164" xfId="0" applyAlignment="1" applyBorder="1" applyFill="1" applyFont="1" applyNumberFormat="1">
      <alignment horizontal="center" vertical="bottom"/>
    </xf>
    <xf borderId="4" fillId="0" fontId="5" numFmtId="164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vertical="bottom"/>
    </xf>
    <xf borderId="4" fillId="98" fontId="5" numFmtId="164" xfId="0" applyAlignment="1" applyBorder="1" applyFill="1" applyFont="1" applyNumberFormat="1">
      <alignment horizontal="center" vertical="bottom"/>
    </xf>
    <xf borderId="0" fillId="99" fontId="5" numFmtId="164" xfId="0" applyAlignment="1" applyFill="1" applyFont="1" applyNumberFormat="1">
      <alignment horizontal="center" vertical="bottom"/>
    </xf>
    <xf borderId="0" fillId="100" fontId="5" numFmtId="164" xfId="0" applyAlignment="1" applyFill="1" applyFont="1" applyNumberFormat="1">
      <alignment horizontal="center" vertical="bottom"/>
    </xf>
    <xf borderId="0" fillId="101" fontId="5" numFmtId="164" xfId="0" applyAlignment="1" applyFill="1" applyFont="1" applyNumberFormat="1">
      <alignment horizontal="center" vertical="bottom"/>
    </xf>
    <xf borderId="5" fillId="102" fontId="5" numFmtId="164" xfId="0" applyAlignment="1" applyBorder="1" applyFill="1" applyFont="1" applyNumberFormat="1">
      <alignment horizontal="center" vertical="bottom"/>
    </xf>
    <xf borderId="4" fillId="103" fontId="5" numFmtId="164" xfId="0" applyAlignment="1" applyBorder="1" applyFill="1" applyFont="1" applyNumberFormat="1">
      <alignment horizontal="center" vertical="bottom"/>
    </xf>
    <xf borderId="0" fillId="104" fontId="5" numFmtId="164" xfId="0" applyAlignment="1" applyFill="1" applyFont="1" applyNumberFormat="1">
      <alignment horizontal="center" vertical="bottom"/>
    </xf>
    <xf borderId="0" fillId="105" fontId="5" numFmtId="164" xfId="0" applyAlignment="1" applyFill="1" applyFont="1" applyNumberFormat="1">
      <alignment horizontal="center" vertical="bottom"/>
    </xf>
    <xf borderId="5" fillId="106" fontId="5" numFmtId="164" xfId="0" applyAlignment="1" applyBorder="1" applyFill="1" applyFont="1" applyNumberFormat="1">
      <alignment horizontal="center" vertical="bottom"/>
    </xf>
    <xf borderId="4" fillId="107" fontId="5" numFmtId="164" xfId="0" applyAlignment="1" applyBorder="1" applyFill="1" applyFont="1" applyNumberFormat="1">
      <alignment horizontal="center" vertical="bottom"/>
    </xf>
    <xf borderId="0" fillId="108" fontId="5" numFmtId="164" xfId="0" applyAlignment="1" applyFill="1" applyFont="1" applyNumberFormat="1">
      <alignment horizontal="center" vertical="bottom"/>
    </xf>
    <xf borderId="0" fillId="109" fontId="5" numFmtId="164" xfId="0" applyAlignment="1" applyFill="1" applyFont="1" applyNumberFormat="1">
      <alignment horizontal="center" vertical="bottom"/>
    </xf>
    <xf borderId="5" fillId="110" fontId="5" numFmtId="164" xfId="0" applyAlignment="1" applyBorder="1" applyFill="1" applyFont="1" applyNumberFormat="1">
      <alignment horizontal="center" vertical="bottom"/>
    </xf>
    <xf borderId="6" fillId="0" fontId="5" numFmtId="164" xfId="0" applyAlignment="1" applyBorder="1" applyFont="1" applyNumberFormat="1">
      <alignment vertical="bottom"/>
    </xf>
    <xf borderId="7" fillId="0" fontId="5" numFmtId="164" xfId="0" applyAlignment="1" applyBorder="1" applyFont="1" applyNumberFormat="1">
      <alignment vertical="bottom"/>
    </xf>
    <xf borderId="8" fillId="0" fontId="5" numFmtId="164" xfId="0" applyAlignment="1" applyBorder="1" applyFont="1" applyNumberFormat="1">
      <alignment vertical="bottom"/>
    </xf>
    <xf borderId="4" fillId="90" fontId="5" numFmtId="164" xfId="0" applyAlignment="1" applyBorder="1" applyFill="1" applyFont="1" applyNumberFormat="1">
      <alignment horizontal="center" vertical="bottom"/>
    </xf>
    <xf borderId="0" fillId="91" fontId="5" numFmtId="164" xfId="0" applyAlignment="1" applyFill="1" applyFont="1" applyNumberFormat="1">
      <alignment horizontal="center" vertical="bottom"/>
    </xf>
    <xf borderId="0" fillId="92" fontId="5" numFmtId="164" xfId="0" applyAlignment="1" applyFill="1" applyFont="1" applyNumberFormat="1">
      <alignment horizontal="center" vertical="bottom"/>
    </xf>
    <xf borderId="5" fillId="69" fontId="5" numFmtId="164" xfId="0" applyAlignment="1" applyBorder="1" applyFill="1" applyFont="1" applyNumberFormat="1">
      <alignment horizontal="center" vertical="bottom"/>
    </xf>
    <xf borderId="6" fillId="107" fontId="5" numFmtId="164" xfId="0" applyAlignment="1" applyBorder="1" applyFill="1" applyFont="1" applyNumberFormat="1">
      <alignment horizontal="center" vertical="bottom"/>
    </xf>
    <xf borderId="7" fillId="108" fontId="5" numFmtId="164" xfId="0" applyAlignment="1" applyBorder="1" applyFill="1" applyFont="1" applyNumberFormat="1">
      <alignment horizontal="center" vertical="bottom"/>
    </xf>
    <xf borderId="7" fillId="109" fontId="5" numFmtId="164" xfId="0" applyAlignment="1" applyBorder="1" applyFill="1" applyFont="1" applyNumberFormat="1">
      <alignment horizontal="center" vertical="bottom"/>
    </xf>
    <xf borderId="7" fillId="70" fontId="5" numFmtId="164" xfId="0" applyAlignment="1" applyBorder="1" applyFill="1" applyFont="1" applyNumberFormat="1">
      <alignment horizontal="center" vertical="bottom"/>
    </xf>
    <xf borderId="8" fillId="110" fontId="5" numFmtId="164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2">
    <dxf>
      <font>
        <color rgb="FFFFFFFF"/>
      </font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7.png"/><Relationship Id="rId4" Type="http://schemas.openxmlformats.org/officeDocument/2006/relationships/image" Target="../media/image12.png"/><Relationship Id="rId11" Type="http://schemas.openxmlformats.org/officeDocument/2006/relationships/image" Target="../media/image14.png"/><Relationship Id="rId10" Type="http://schemas.openxmlformats.org/officeDocument/2006/relationships/image" Target="../media/image11.png"/><Relationship Id="rId12" Type="http://schemas.openxmlformats.org/officeDocument/2006/relationships/image" Target="../media/image8.png"/><Relationship Id="rId9" Type="http://schemas.openxmlformats.org/officeDocument/2006/relationships/image" Target="../media/image3.png"/><Relationship Id="rId5" Type="http://schemas.openxmlformats.org/officeDocument/2006/relationships/image" Target="../media/image1.png"/><Relationship Id="rId6" Type="http://schemas.openxmlformats.org/officeDocument/2006/relationships/image" Target="../media/image13.png"/><Relationship Id="rId7" Type="http://schemas.openxmlformats.org/officeDocument/2006/relationships/image" Target="../media/image9.png"/><Relationship Id="rId8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Relationship Id="rId3" Type="http://schemas.openxmlformats.org/officeDocument/2006/relationships/image" Target="../media/image7.png"/><Relationship Id="rId4" Type="http://schemas.openxmlformats.org/officeDocument/2006/relationships/image" Target="../media/image12.png"/><Relationship Id="rId11" Type="http://schemas.openxmlformats.org/officeDocument/2006/relationships/image" Target="../media/image6.png"/><Relationship Id="rId10" Type="http://schemas.openxmlformats.org/officeDocument/2006/relationships/image" Target="../media/image11.png"/><Relationship Id="rId12" Type="http://schemas.openxmlformats.org/officeDocument/2006/relationships/image" Target="../media/image2.png"/><Relationship Id="rId9" Type="http://schemas.openxmlformats.org/officeDocument/2006/relationships/image" Target="../media/image3.png"/><Relationship Id="rId5" Type="http://schemas.openxmlformats.org/officeDocument/2006/relationships/image" Target="../media/image1.png"/><Relationship Id="rId6" Type="http://schemas.openxmlformats.org/officeDocument/2006/relationships/image" Target="../media/image13.png"/><Relationship Id="rId7" Type="http://schemas.openxmlformats.org/officeDocument/2006/relationships/image" Target="../media/image9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</xdr:colOff>
      <xdr:row>76</xdr:row>
      <xdr:rowOff>28575</xdr:rowOff>
    </xdr:from>
    <xdr:ext cx="5705475" cy="628650"/>
    <xdr:grpSp>
      <xdr:nvGrpSpPr>
        <xdr:cNvPr id="2" name="Shape 2" title="Drawing"/>
        <xdr:cNvGrpSpPr/>
      </xdr:nvGrpSpPr>
      <xdr:grpSpPr>
        <a:xfrm>
          <a:off x="1465975" y="912177"/>
          <a:ext cx="4287525" cy="819198"/>
          <a:chOff x="1465975" y="912177"/>
          <a:chExt cx="4287525" cy="819198"/>
        </a:xfrm>
      </xdr:grpSpPr>
      <xdr:sp>
        <xdr:nvSpPr>
          <xdr:cNvPr id="3" name="Shape 3"/>
          <xdr:cNvSpPr/>
        </xdr:nvSpPr>
        <xdr:spPr>
          <a:xfrm>
            <a:off x="1486075" y="994050"/>
            <a:ext cx="4093400" cy="737325"/>
          </a:xfrm>
          <a:custGeom>
            <a:rect b="b" l="l" r="r" t="t"/>
            <a:pathLst>
              <a:path extrusionOk="0" h="29493" w="163736">
                <a:moveTo>
                  <a:pt x="0" y="9640"/>
                </a:moveTo>
                <a:cubicBezTo>
                  <a:pt x="11332" y="9640"/>
                  <a:pt x="21887" y="15549"/>
                  <a:pt x="32934" y="18074"/>
                </a:cubicBezTo>
                <a:cubicBezTo>
                  <a:pt x="59162" y="24069"/>
                  <a:pt x="85981" y="30490"/>
                  <a:pt x="112860" y="29320"/>
                </a:cubicBezTo>
                <a:cubicBezTo>
                  <a:pt x="127078" y="28701"/>
                  <a:pt x="142275" y="27546"/>
                  <a:pt x="154631" y="20484"/>
                </a:cubicBezTo>
                <a:cubicBezTo>
                  <a:pt x="160999" y="16845"/>
                  <a:pt x="165937" y="6563"/>
                  <a:pt x="162664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5321725" y="912177"/>
            <a:ext cx="431775" cy="282675"/>
          </a:xfrm>
          <a:custGeom>
            <a:rect b="b" l="l" r="r" t="t"/>
            <a:pathLst>
              <a:path extrusionOk="0" h="11307" w="17271">
                <a:moveTo>
                  <a:pt x="0" y="8898"/>
                </a:moveTo>
                <a:cubicBezTo>
                  <a:pt x="3013" y="5885"/>
                  <a:pt x="5104" y="1097"/>
                  <a:pt x="9238" y="62"/>
                </a:cubicBezTo>
                <a:cubicBezTo>
                  <a:pt x="10227" y="-186"/>
                  <a:pt x="9987" y="1962"/>
                  <a:pt x="10443" y="2874"/>
                </a:cubicBezTo>
                <a:cubicBezTo>
                  <a:pt x="12060" y="6110"/>
                  <a:pt x="14036" y="9690"/>
                  <a:pt x="17271" y="11308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1465975" y="1074375"/>
            <a:ext cx="90375" cy="160675"/>
          </a:xfrm>
          <a:custGeom>
            <a:rect b="b" l="l" r="r" t="t"/>
            <a:pathLst>
              <a:path extrusionOk="0" h="6427" w="3615">
                <a:moveTo>
                  <a:pt x="3615" y="6427"/>
                </a:moveTo>
                <a:cubicBezTo>
                  <a:pt x="1877" y="4689"/>
                  <a:pt x="0" y="2458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3</xdr:col>
      <xdr:colOff>152400</xdr:colOff>
      <xdr:row>76</xdr:row>
      <xdr:rowOff>57150</xdr:rowOff>
    </xdr:from>
    <xdr:ext cx="8562975" cy="809625"/>
    <xdr:grpSp>
      <xdr:nvGrpSpPr>
        <xdr:cNvPr id="2" name="Shape 2" title="Drawing"/>
        <xdr:cNvGrpSpPr/>
      </xdr:nvGrpSpPr>
      <xdr:grpSpPr>
        <a:xfrm>
          <a:off x="1235050" y="709728"/>
          <a:ext cx="5492425" cy="786622"/>
          <a:chOff x="1235050" y="709728"/>
          <a:chExt cx="5492425" cy="786622"/>
        </a:xfrm>
      </xdr:grpSpPr>
      <xdr:sp>
        <xdr:nvSpPr>
          <xdr:cNvPr id="6" name="Shape 6"/>
          <xdr:cNvSpPr/>
        </xdr:nvSpPr>
        <xdr:spPr>
          <a:xfrm>
            <a:off x="1235050" y="712900"/>
            <a:ext cx="5281550" cy="783450"/>
          </a:xfrm>
          <a:custGeom>
            <a:rect b="b" l="l" r="r" t="t"/>
            <a:pathLst>
              <a:path extrusionOk="0" h="31338" w="211262">
                <a:moveTo>
                  <a:pt x="0" y="0"/>
                </a:moveTo>
                <a:cubicBezTo>
                  <a:pt x="34552" y="21605"/>
                  <a:pt x="78099" y="24666"/>
                  <a:pt x="118483" y="30123"/>
                </a:cubicBezTo>
                <a:cubicBezTo>
                  <a:pt x="145582" y="33785"/>
                  <a:pt x="177402" y="29152"/>
                  <a:pt x="198410" y="11648"/>
                </a:cubicBezTo>
                <a:cubicBezTo>
                  <a:pt x="202587" y="8168"/>
                  <a:pt x="208833" y="6471"/>
                  <a:pt x="211262" y="1607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6094875" y="709728"/>
            <a:ext cx="632600" cy="153775"/>
          </a:xfrm>
          <a:custGeom>
            <a:rect b="b" l="l" r="r" t="t"/>
            <a:pathLst>
              <a:path extrusionOk="0" h="6151" w="25304">
                <a:moveTo>
                  <a:pt x="25304" y="6152"/>
                </a:moveTo>
                <a:cubicBezTo>
                  <a:pt x="22510" y="4120"/>
                  <a:pt x="20257" y="805"/>
                  <a:pt x="16869" y="127"/>
                </a:cubicBezTo>
                <a:cubicBezTo>
                  <a:pt x="14334" y="-381"/>
                  <a:pt x="12164" y="2378"/>
                  <a:pt x="9640" y="2939"/>
                </a:cubicBezTo>
                <a:cubicBezTo>
                  <a:pt x="6460" y="3645"/>
                  <a:pt x="2915" y="3091"/>
                  <a:pt x="0" y="454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9525</xdr:colOff>
      <xdr:row>76</xdr:row>
      <xdr:rowOff>9525</xdr:rowOff>
    </xdr:from>
    <xdr:ext cx="2962275" cy="419100"/>
    <xdr:grpSp>
      <xdr:nvGrpSpPr>
        <xdr:cNvPr id="2" name="Shape 2" title="Drawing"/>
        <xdr:cNvGrpSpPr/>
      </xdr:nvGrpSpPr>
      <xdr:grpSpPr>
        <a:xfrm>
          <a:off x="1355525" y="615514"/>
          <a:ext cx="2942025" cy="397736"/>
          <a:chOff x="1355525" y="615514"/>
          <a:chExt cx="2942025" cy="397736"/>
        </a:xfrm>
      </xdr:grpSpPr>
      <xdr:sp>
        <xdr:nvSpPr>
          <xdr:cNvPr id="8" name="Shape 8"/>
          <xdr:cNvSpPr/>
        </xdr:nvSpPr>
        <xdr:spPr>
          <a:xfrm>
            <a:off x="1355525" y="632575"/>
            <a:ext cx="2811500" cy="380675"/>
          </a:xfrm>
          <a:custGeom>
            <a:rect b="b" l="l" r="r" t="t"/>
            <a:pathLst>
              <a:path extrusionOk="0" h="15227" w="112460">
                <a:moveTo>
                  <a:pt x="0" y="3615"/>
                </a:moveTo>
                <a:cubicBezTo>
                  <a:pt x="22256" y="20304"/>
                  <a:pt x="55681" y="15298"/>
                  <a:pt x="83140" y="10845"/>
                </a:cubicBezTo>
                <a:cubicBezTo>
                  <a:pt x="93426" y="9177"/>
                  <a:pt x="107800" y="9320"/>
                  <a:pt x="11246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9" name="Shape 9"/>
          <xdr:cNvSpPr/>
        </xdr:nvSpPr>
        <xdr:spPr>
          <a:xfrm>
            <a:off x="3785450" y="615514"/>
            <a:ext cx="512100" cy="137550"/>
          </a:xfrm>
          <a:custGeom>
            <a:rect b="b" l="l" r="r" t="t"/>
            <a:pathLst>
              <a:path extrusionOk="0" h="5502" w="20484">
                <a:moveTo>
                  <a:pt x="20484" y="5100"/>
                </a:moveTo>
                <a:cubicBezTo>
                  <a:pt x="17836" y="3445"/>
                  <a:pt x="15481" y="1037"/>
                  <a:pt x="12451" y="281"/>
                </a:cubicBezTo>
                <a:cubicBezTo>
                  <a:pt x="8085" y="-809"/>
                  <a:pt x="3182" y="2320"/>
                  <a:pt x="0" y="5502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</xdr:col>
      <xdr:colOff>95250</xdr:colOff>
      <xdr:row>58</xdr:row>
      <xdr:rowOff>85725</xdr:rowOff>
    </xdr:from>
    <xdr:ext cx="6953250" cy="8763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12</xdr:row>
      <xdr:rowOff>180975</xdr:rowOff>
    </xdr:from>
    <xdr:ext cx="1962150" cy="62865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27</xdr:row>
      <xdr:rowOff>180975</xdr:rowOff>
    </xdr:from>
    <xdr:ext cx="1981200" cy="800100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42</xdr:row>
      <xdr:rowOff>171450</xdr:rowOff>
    </xdr:from>
    <xdr:ext cx="2038350" cy="781050"/>
    <xdr:pic>
      <xdr:nvPicPr>
        <xdr:cNvPr id="0" name="image1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180975</xdr:colOff>
      <xdr:row>88</xdr:row>
      <xdr:rowOff>95250</xdr:rowOff>
    </xdr:from>
    <xdr:ext cx="2743200" cy="142875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2</xdr:row>
      <xdr:rowOff>57150</xdr:rowOff>
    </xdr:from>
    <xdr:ext cx="4857750" cy="581025"/>
    <xdr:pic>
      <xdr:nvPicPr>
        <xdr:cNvPr id="0" name="image1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5</xdr:row>
      <xdr:rowOff>190500</xdr:rowOff>
    </xdr:from>
    <xdr:ext cx="5381625" cy="781050"/>
    <xdr:pic>
      <xdr:nvPicPr>
        <xdr:cNvPr id="0" name="image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145</xdr:row>
      <xdr:rowOff>133350</xdr:rowOff>
    </xdr:from>
    <xdr:ext cx="5381625" cy="781050"/>
    <xdr:pic>
      <xdr:nvPicPr>
        <xdr:cNvPr id="0" name="image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253</xdr:row>
      <xdr:rowOff>161925</xdr:rowOff>
    </xdr:from>
    <xdr:ext cx="8324850" cy="933450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125</xdr:row>
      <xdr:rowOff>190500</xdr:rowOff>
    </xdr:from>
    <xdr:ext cx="2095500" cy="800100"/>
    <xdr:pic>
      <xdr:nvPicPr>
        <xdr:cNvPr id="0" name="image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119</xdr:row>
      <xdr:rowOff>123825</xdr:rowOff>
    </xdr:from>
    <xdr:ext cx="5915025" cy="781050"/>
    <xdr:pic>
      <xdr:nvPicPr>
        <xdr:cNvPr id="0" name="image1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344</xdr:row>
      <xdr:rowOff>85725</xdr:rowOff>
    </xdr:from>
    <xdr:ext cx="4438650" cy="628650"/>
    <xdr:pic>
      <xdr:nvPicPr>
        <xdr:cNvPr id="0" name="image14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363</xdr:row>
      <xdr:rowOff>57150</xdr:rowOff>
    </xdr:from>
    <xdr:ext cx="1438275" cy="495300"/>
    <xdr:pic>
      <xdr:nvPicPr>
        <xdr:cNvPr id="0" name="image8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</xdr:colOff>
      <xdr:row>74</xdr:row>
      <xdr:rowOff>28575</xdr:rowOff>
    </xdr:from>
    <xdr:ext cx="5705475" cy="628650"/>
    <xdr:grpSp>
      <xdr:nvGrpSpPr>
        <xdr:cNvPr id="2" name="Shape 2" title="Drawing"/>
        <xdr:cNvGrpSpPr/>
      </xdr:nvGrpSpPr>
      <xdr:grpSpPr>
        <a:xfrm>
          <a:off x="1465975" y="912177"/>
          <a:ext cx="4287525" cy="819198"/>
          <a:chOff x="1465975" y="912177"/>
          <a:chExt cx="4287525" cy="819198"/>
        </a:xfrm>
      </xdr:grpSpPr>
      <xdr:sp>
        <xdr:nvSpPr>
          <xdr:cNvPr id="3" name="Shape 3"/>
          <xdr:cNvSpPr/>
        </xdr:nvSpPr>
        <xdr:spPr>
          <a:xfrm>
            <a:off x="1486075" y="994050"/>
            <a:ext cx="4093400" cy="737325"/>
          </a:xfrm>
          <a:custGeom>
            <a:rect b="b" l="l" r="r" t="t"/>
            <a:pathLst>
              <a:path extrusionOk="0" h="29493" w="163736">
                <a:moveTo>
                  <a:pt x="0" y="9640"/>
                </a:moveTo>
                <a:cubicBezTo>
                  <a:pt x="11332" y="9640"/>
                  <a:pt x="21887" y="15549"/>
                  <a:pt x="32934" y="18074"/>
                </a:cubicBezTo>
                <a:cubicBezTo>
                  <a:pt x="59162" y="24069"/>
                  <a:pt x="85981" y="30490"/>
                  <a:pt x="112860" y="29320"/>
                </a:cubicBezTo>
                <a:cubicBezTo>
                  <a:pt x="127078" y="28701"/>
                  <a:pt x="142275" y="27546"/>
                  <a:pt x="154631" y="20484"/>
                </a:cubicBezTo>
                <a:cubicBezTo>
                  <a:pt x="160999" y="16845"/>
                  <a:pt x="165937" y="6563"/>
                  <a:pt x="162664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5321725" y="912177"/>
            <a:ext cx="431775" cy="282675"/>
          </a:xfrm>
          <a:custGeom>
            <a:rect b="b" l="l" r="r" t="t"/>
            <a:pathLst>
              <a:path extrusionOk="0" h="11307" w="17271">
                <a:moveTo>
                  <a:pt x="0" y="8898"/>
                </a:moveTo>
                <a:cubicBezTo>
                  <a:pt x="3013" y="5885"/>
                  <a:pt x="5104" y="1097"/>
                  <a:pt x="9238" y="62"/>
                </a:cubicBezTo>
                <a:cubicBezTo>
                  <a:pt x="10227" y="-186"/>
                  <a:pt x="9987" y="1962"/>
                  <a:pt x="10443" y="2874"/>
                </a:cubicBezTo>
                <a:cubicBezTo>
                  <a:pt x="12060" y="6110"/>
                  <a:pt x="14036" y="9690"/>
                  <a:pt x="17271" y="11308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1465975" y="1074375"/>
            <a:ext cx="90375" cy="160675"/>
          </a:xfrm>
          <a:custGeom>
            <a:rect b="b" l="l" r="r" t="t"/>
            <a:pathLst>
              <a:path extrusionOk="0" h="6427" w="3615">
                <a:moveTo>
                  <a:pt x="3615" y="6427"/>
                </a:moveTo>
                <a:cubicBezTo>
                  <a:pt x="1877" y="4689"/>
                  <a:pt x="0" y="2458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3</xdr:col>
      <xdr:colOff>152400</xdr:colOff>
      <xdr:row>74</xdr:row>
      <xdr:rowOff>57150</xdr:rowOff>
    </xdr:from>
    <xdr:ext cx="8562975" cy="809625"/>
    <xdr:grpSp>
      <xdr:nvGrpSpPr>
        <xdr:cNvPr id="2" name="Shape 2" title="Drawing"/>
        <xdr:cNvGrpSpPr/>
      </xdr:nvGrpSpPr>
      <xdr:grpSpPr>
        <a:xfrm>
          <a:off x="1235050" y="709728"/>
          <a:ext cx="5492425" cy="786622"/>
          <a:chOff x="1235050" y="709728"/>
          <a:chExt cx="5492425" cy="786622"/>
        </a:xfrm>
      </xdr:grpSpPr>
      <xdr:sp>
        <xdr:nvSpPr>
          <xdr:cNvPr id="6" name="Shape 6"/>
          <xdr:cNvSpPr/>
        </xdr:nvSpPr>
        <xdr:spPr>
          <a:xfrm>
            <a:off x="1235050" y="712900"/>
            <a:ext cx="5281550" cy="783450"/>
          </a:xfrm>
          <a:custGeom>
            <a:rect b="b" l="l" r="r" t="t"/>
            <a:pathLst>
              <a:path extrusionOk="0" h="31338" w="211262">
                <a:moveTo>
                  <a:pt x="0" y="0"/>
                </a:moveTo>
                <a:cubicBezTo>
                  <a:pt x="34552" y="21605"/>
                  <a:pt x="78099" y="24666"/>
                  <a:pt x="118483" y="30123"/>
                </a:cubicBezTo>
                <a:cubicBezTo>
                  <a:pt x="145582" y="33785"/>
                  <a:pt x="177402" y="29152"/>
                  <a:pt x="198410" y="11648"/>
                </a:cubicBezTo>
                <a:cubicBezTo>
                  <a:pt x="202587" y="8168"/>
                  <a:pt x="208833" y="6471"/>
                  <a:pt x="211262" y="1607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6094875" y="709728"/>
            <a:ext cx="632600" cy="153775"/>
          </a:xfrm>
          <a:custGeom>
            <a:rect b="b" l="l" r="r" t="t"/>
            <a:pathLst>
              <a:path extrusionOk="0" h="6151" w="25304">
                <a:moveTo>
                  <a:pt x="25304" y="6152"/>
                </a:moveTo>
                <a:cubicBezTo>
                  <a:pt x="22510" y="4120"/>
                  <a:pt x="20257" y="805"/>
                  <a:pt x="16869" y="127"/>
                </a:cubicBezTo>
                <a:cubicBezTo>
                  <a:pt x="14334" y="-381"/>
                  <a:pt x="12164" y="2378"/>
                  <a:pt x="9640" y="2939"/>
                </a:cubicBezTo>
                <a:cubicBezTo>
                  <a:pt x="6460" y="3645"/>
                  <a:pt x="2915" y="3091"/>
                  <a:pt x="0" y="454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9525</xdr:colOff>
      <xdr:row>74</xdr:row>
      <xdr:rowOff>9525</xdr:rowOff>
    </xdr:from>
    <xdr:ext cx="2962275" cy="419100"/>
    <xdr:grpSp>
      <xdr:nvGrpSpPr>
        <xdr:cNvPr id="2" name="Shape 2" title="Drawing"/>
        <xdr:cNvGrpSpPr/>
      </xdr:nvGrpSpPr>
      <xdr:grpSpPr>
        <a:xfrm>
          <a:off x="1355525" y="615514"/>
          <a:ext cx="2942025" cy="397736"/>
          <a:chOff x="1355525" y="615514"/>
          <a:chExt cx="2942025" cy="397736"/>
        </a:xfrm>
      </xdr:grpSpPr>
      <xdr:sp>
        <xdr:nvSpPr>
          <xdr:cNvPr id="8" name="Shape 8"/>
          <xdr:cNvSpPr/>
        </xdr:nvSpPr>
        <xdr:spPr>
          <a:xfrm>
            <a:off x="1355525" y="632575"/>
            <a:ext cx="2811500" cy="380675"/>
          </a:xfrm>
          <a:custGeom>
            <a:rect b="b" l="l" r="r" t="t"/>
            <a:pathLst>
              <a:path extrusionOk="0" h="15227" w="112460">
                <a:moveTo>
                  <a:pt x="0" y="3615"/>
                </a:moveTo>
                <a:cubicBezTo>
                  <a:pt x="22256" y="20304"/>
                  <a:pt x="55681" y="15298"/>
                  <a:pt x="83140" y="10845"/>
                </a:cubicBezTo>
                <a:cubicBezTo>
                  <a:pt x="93426" y="9177"/>
                  <a:pt x="107800" y="9320"/>
                  <a:pt x="11246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9" name="Shape 9"/>
          <xdr:cNvSpPr/>
        </xdr:nvSpPr>
        <xdr:spPr>
          <a:xfrm>
            <a:off x="3785450" y="615514"/>
            <a:ext cx="512100" cy="137550"/>
          </a:xfrm>
          <a:custGeom>
            <a:rect b="b" l="l" r="r" t="t"/>
            <a:pathLst>
              <a:path extrusionOk="0" h="5502" w="20484">
                <a:moveTo>
                  <a:pt x="20484" y="5100"/>
                </a:moveTo>
                <a:cubicBezTo>
                  <a:pt x="17836" y="3445"/>
                  <a:pt x="15481" y="1037"/>
                  <a:pt x="12451" y="281"/>
                </a:cubicBezTo>
                <a:cubicBezTo>
                  <a:pt x="8085" y="-809"/>
                  <a:pt x="3182" y="2320"/>
                  <a:pt x="0" y="5502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</xdr:col>
      <xdr:colOff>95250</xdr:colOff>
      <xdr:row>56</xdr:row>
      <xdr:rowOff>85725</xdr:rowOff>
    </xdr:from>
    <xdr:ext cx="6953250" cy="8763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10</xdr:row>
      <xdr:rowOff>180975</xdr:rowOff>
    </xdr:from>
    <xdr:ext cx="1962150" cy="62865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25</xdr:row>
      <xdr:rowOff>180975</xdr:rowOff>
    </xdr:from>
    <xdr:ext cx="1981200" cy="800100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40</xdr:row>
      <xdr:rowOff>171450</xdr:rowOff>
    </xdr:from>
    <xdr:ext cx="2038350" cy="781050"/>
    <xdr:pic>
      <xdr:nvPicPr>
        <xdr:cNvPr id="0" name="image1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180975</xdr:colOff>
      <xdr:row>86</xdr:row>
      <xdr:rowOff>95250</xdr:rowOff>
    </xdr:from>
    <xdr:ext cx="2743200" cy="142875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57150</xdr:rowOff>
    </xdr:from>
    <xdr:ext cx="4857750" cy="581025"/>
    <xdr:pic>
      <xdr:nvPicPr>
        <xdr:cNvPr id="0" name="image1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3</xdr:row>
      <xdr:rowOff>190500</xdr:rowOff>
    </xdr:from>
    <xdr:ext cx="5381625" cy="781050"/>
    <xdr:pic>
      <xdr:nvPicPr>
        <xdr:cNvPr id="0" name="image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143</xdr:row>
      <xdr:rowOff>133350</xdr:rowOff>
    </xdr:from>
    <xdr:ext cx="5381625" cy="781050"/>
    <xdr:pic>
      <xdr:nvPicPr>
        <xdr:cNvPr id="0" name="image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251</xdr:row>
      <xdr:rowOff>161925</xdr:rowOff>
    </xdr:from>
    <xdr:ext cx="8324850" cy="933450"/>
    <xdr:pic>
      <xdr:nvPicPr>
        <xdr:cNvPr id="0" name="image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123</xdr:row>
      <xdr:rowOff>190500</xdr:rowOff>
    </xdr:from>
    <xdr:ext cx="2095500" cy="800100"/>
    <xdr:pic>
      <xdr:nvPicPr>
        <xdr:cNvPr id="0" name="image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117</xdr:row>
      <xdr:rowOff>123825</xdr:rowOff>
    </xdr:from>
    <xdr:ext cx="5915025" cy="781050"/>
    <xdr:pic>
      <xdr:nvPicPr>
        <xdr:cNvPr id="0" name="image11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342</xdr:row>
      <xdr:rowOff>38100</xdr:rowOff>
    </xdr:from>
    <xdr:ext cx="5381625" cy="733425"/>
    <xdr:pic>
      <xdr:nvPicPr>
        <xdr:cNvPr id="0" name="image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359</xdr:row>
      <xdr:rowOff>76200</xdr:rowOff>
    </xdr:from>
    <xdr:ext cx="1914525" cy="733425"/>
    <xdr:pic>
      <xdr:nvPicPr>
        <xdr:cNvPr id="0" name="image2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1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4" t="s">
        <v>0</v>
      </c>
      <c r="AA2" s="4"/>
      <c r="AB2" s="4"/>
      <c r="AC2" s="4"/>
      <c r="AD2" s="4"/>
      <c r="AE2" s="4"/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4" t="s">
        <v>1</v>
      </c>
      <c r="AA12" s="4"/>
      <c r="AB12" s="4"/>
      <c r="AC12" s="4"/>
      <c r="AD12" s="4"/>
      <c r="AE12" s="4"/>
    </row>
    <row r="13">
      <c r="B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C14" s="5"/>
      <c r="I14" s="6" t="s">
        <v>2</v>
      </c>
      <c r="J14" s="7">
        <f t="shared" ref="J14:N14" si="1">NORMINV(rand(),0, 1)</f>
        <v>0.602311076</v>
      </c>
      <c r="K14" s="8">
        <f t="shared" si="1"/>
        <v>0.3919418073</v>
      </c>
      <c r="L14" s="8">
        <f t="shared" si="1"/>
        <v>-0.4838942147</v>
      </c>
      <c r="M14" s="8">
        <f t="shared" si="1"/>
        <v>-0.7885378464</v>
      </c>
      <c r="N14" s="9">
        <f t="shared" si="1"/>
        <v>0.7436770235</v>
      </c>
      <c r="O14" s="3"/>
      <c r="P14" s="10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I15" s="6" t="s">
        <v>3</v>
      </c>
      <c r="J15" s="11">
        <f t="shared" ref="J15:N15" si="2">NORMINV(rand(),0, 1)</f>
        <v>-0.1266679183</v>
      </c>
      <c r="K15" s="10">
        <f t="shared" si="2"/>
        <v>0.7077432219</v>
      </c>
      <c r="L15" s="10">
        <f t="shared" si="2"/>
        <v>0.3576456908</v>
      </c>
      <c r="M15" s="10">
        <f t="shared" si="2"/>
        <v>-0.1160909175</v>
      </c>
      <c r="N15" s="12">
        <f t="shared" si="2"/>
        <v>0.2136846716</v>
      </c>
      <c r="O15" s="3"/>
      <c r="P15" s="10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I16" s="1"/>
      <c r="J16" s="11">
        <f t="shared" ref="J16:N16" si="3">NORMINV(rand(),0, 1)</f>
        <v>-0.8170491227</v>
      </c>
      <c r="K16" s="10">
        <f t="shared" si="3"/>
        <v>1.181206511</v>
      </c>
      <c r="L16" s="10">
        <f t="shared" si="3"/>
        <v>-0.8715015175</v>
      </c>
      <c r="M16" s="10">
        <f t="shared" si="3"/>
        <v>0.5928967294</v>
      </c>
      <c r="N16" s="12">
        <f t="shared" si="3"/>
        <v>1.409225492</v>
      </c>
      <c r="O16" s="3"/>
      <c r="P16" s="10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I17" s="1"/>
      <c r="J17" s="11">
        <f t="shared" ref="J17:N17" si="4">NORMINV(rand(),0, 1)</f>
        <v>0.4649945152</v>
      </c>
      <c r="K17" s="10">
        <f t="shared" si="4"/>
        <v>-0.2849709787</v>
      </c>
      <c r="L17" s="10">
        <f t="shared" si="4"/>
        <v>0.6515113924</v>
      </c>
      <c r="M17" s="10">
        <f t="shared" si="4"/>
        <v>0.9121045397</v>
      </c>
      <c r="N17" s="12">
        <f t="shared" si="4"/>
        <v>0.571887722</v>
      </c>
      <c r="O17" s="3"/>
      <c r="P17" s="10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I18" s="1"/>
      <c r="J18" s="13">
        <f t="shared" ref="J18:N18" si="5">NORMINV(rand(),0, 1)</f>
        <v>-0.04556458772</v>
      </c>
      <c r="K18" s="14">
        <f t="shared" si="5"/>
        <v>-0.7552642421</v>
      </c>
      <c r="L18" s="14">
        <f t="shared" si="5"/>
        <v>-0.4383460488</v>
      </c>
      <c r="M18" s="14">
        <f t="shared" si="5"/>
        <v>1.369016415</v>
      </c>
      <c r="N18" s="15">
        <f t="shared" si="5"/>
        <v>0.6921350373</v>
      </c>
      <c r="O18" s="3"/>
      <c r="P18" s="10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I19" s="2"/>
      <c r="J19" s="1"/>
      <c r="K19" s="8"/>
      <c r="L19" s="16" t="s">
        <v>4</v>
      </c>
      <c r="M19" s="17"/>
      <c r="N19" s="8"/>
      <c r="O19" s="18"/>
      <c r="P19" s="10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B20" s="1"/>
      <c r="C20" s="2"/>
      <c r="D20" s="2"/>
      <c r="E20" s="2"/>
      <c r="F20" s="2"/>
      <c r="G20" s="2"/>
      <c r="H20" s="2"/>
      <c r="I20" s="2"/>
      <c r="J20" s="2"/>
      <c r="K20" s="2"/>
      <c r="L20" s="17" t="s">
        <v>4</v>
      </c>
      <c r="M20" s="17"/>
      <c r="N20" s="2"/>
      <c r="O20" s="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B21" s="6" t="s">
        <v>5</v>
      </c>
      <c r="C21" s="7">
        <f t="shared" ref="C21:G21" si="6">NORMINV(rand(),0, 1)</f>
        <v>-0.348553156</v>
      </c>
      <c r="D21" s="8">
        <f t="shared" si="6"/>
        <v>1.875565976</v>
      </c>
      <c r="E21" s="8">
        <f t="shared" si="6"/>
        <v>-0.5785006821</v>
      </c>
      <c r="F21" s="8">
        <f t="shared" si="6"/>
        <v>-0.5770165</v>
      </c>
      <c r="G21" s="8">
        <f t="shared" si="6"/>
        <v>-0.1182304381</v>
      </c>
      <c r="H21" s="11"/>
      <c r="I21" s="6" t="s">
        <v>6</v>
      </c>
      <c r="J21" s="7"/>
      <c r="K21" s="8"/>
      <c r="L21" s="8"/>
      <c r="M21" s="8"/>
      <c r="N21" s="9"/>
      <c r="O21" s="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B22" s="1"/>
      <c r="C22" s="11">
        <f t="shared" ref="C22:G22" si="7">NORMINV(rand(),0, 1)</f>
        <v>0.781226276</v>
      </c>
      <c r="D22" s="10">
        <f t="shared" si="7"/>
        <v>0.131195885</v>
      </c>
      <c r="E22" s="10">
        <f t="shared" si="7"/>
        <v>-0.5837625396</v>
      </c>
      <c r="F22" s="10">
        <f t="shared" si="7"/>
        <v>0.09702089782</v>
      </c>
      <c r="G22" s="10">
        <f t="shared" si="7"/>
        <v>-0.3687756772</v>
      </c>
      <c r="H22" s="11"/>
      <c r="I22" s="6" t="s">
        <v>7</v>
      </c>
      <c r="J22" s="11"/>
      <c r="K22" s="10"/>
      <c r="L22" s="10"/>
      <c r="M22" s="10"/>
      <c r="N22" s="12"/>
      <c r="O22" s="3"/>
      <c r="P22" s="10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B23" s="1"/>
      <c r="C23" s="11">
        <f t="shared" ref="C23:G23" si="8">NORMINV(rand(),0, 1)</f>
        <v>-0.331297151</v>
      </c>
      <c r="D23" s="10">
        <f t="shared" si="8"/>
        <v>1.690479948</v>
      </c>
      <c r="E23" s="10">
        <f t="shared" si="8"/>
        <v>0.01753329173</v>
      </c>
      <c r="F23" s="10">
        <f t="shared" si="8"/>
        <v>-0.184787475</v>
      </c>
      <c r="G23" s="10">
        <f t="shared" si="8"/>
        <v>0.3806446978</v>
      </c>
      <c r="H23" s="19" t="s">
        <v>8</v>
      </c>
      <c r="I23" s="17" t="s">
        <v>8</v>
      </c>
      <c r="J23" s="11"/>
      <c r="K23" s="10"/>
      <c r="L23" s="10"/>
      <c r="M23" s="10"/>
      <c r="N23" s="12"/>
      <c r="O23" s="3"/>
      <c r="P23" s="10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B24" s="1"/>
      <c r="C24" s="11">
        <f t="shared" ref="C24:G24" si="9">NORMINV(rand(),0, 1)</f>
        <v>1.874510693</v>
      </c>
      <c r="D24" s="10">
        <f t="shared" si="9"/>
        <v>-0.2121700618</v>
      </c>
      <c r="E24" s="10">
        <f t="shared" si="9"/>
        <v>-0.4102869139</v>
      </c>
      <c r="F24" s="10">
        <f t="shared" si="9"/>
        <v>-0.4944961665</v>
      </c>
      <c r="G24" s="10">
        <f t="shared" si="9"/>
        <v>0.3782544873</v>
      </c>
      <c r="H24" s="11"/>
      <c r="I24" s="2"/>
      <c r="J24" s="11"/>
      <c r="K24" s="10"/>
      <c r="L24" s="10"/>
      <c r="M24" s="10"/>
      <c r="N24" s="12"/>
      <c r="O24" s="3"/>
      <c r="P24" s="10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B25" s="1"/>
      <c r="C25" s="13">
        <f t="shared" ref="C25:G25" si="10">NORMINV(rand(),0, 1)</f>
        <v>-0.2298715342</v>
      </c>
      <c r="D25" s="14">
        <f t="shared" si="10"/>
        <v>1.206571624</v>
      </c>
      <c r="E25" s="14">
        <f t="shared" si="10"/>
        <v>-1.388171603</v>
      </c>
      <c r="F25" s="14">
        <f t="shared" si="10"/>
        <v>0.7990950824</v>
      </c>
      <c r="G25" s="14">
        <f t="shared" si="10"/>
        <v>-0.5625286543</v>
      </c>
      <c r="H25" s="11"/>
      <c r="I25" s="2"/>
      <c r="J25" s="13"/>
      <c r="K25" s="14"/>
      <c r="L25" s="14"/>
      <c r="M25" s="14"/>
      <c r="N25" s="15"/>
      <c r="O25" s="3"/>
      <c r="P25" s="10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O26" s="3"/>
      <c r="P26" s="10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4" t="s">
        <v>9</v>
      </c>
      <c r="AA27" s="4"/>
      <c r="AB27" s="4"/>
      <c r="AC27" s="4"/>
      <c r="AD27" s="4"/>
      <c r="AE27" s="4"/>
    </row>
    <row r="28">
      <c r="B28" s="1"/>
      <c r="C28" s="10"/>
      <c r="D28" s="10"/>
      <c r="E28" s="10"/>
      <c r="F28" s="10"/>
      <c r="G28" s="10"/>
      <c r="H28" s="10"/>
      <c r="I28" s="2"/>
      <c r="J28" s="2"/>
      <c r="K28" s="10"/>
      <c r="L28" s="10"/>
      <c r="M28" s="10"/>
      <c r="N28" s="10"/>
      <c r="O28" s="18"/>
      <c r="P28" s="10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C29" s="5"/>
      <c r="I29" s="6" t="s">
        <v>2</v>
      </c>
      <c r="J29" s="7">
        <f t="array" ref="J29:N33">J14:N18</f>
        <v>0.602311076</v>
      </c>
      <c r="K29" s="8">
        <v>0.3919418073167533</v>
      </c>
      <c r="L29" s="8">
        <v>-0.48389421468512284</v>
      </c>
      <c r="M29" s="8">
        <v>-0.7885378464146406</v>
      </c>
      <c r="N29" s="9">
        <v>0.743677023526336</v>
      </c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I30" s="6" t="s">
        <v>3</v>
      </c>
      <c r="J30" s="11">
        <v>-0.12666791834018415</v>
      </c>
      <c r="K30" s="10">
        <v>0.7077432219287846</v>
      </c>
      <c r="L30" s="10">
        <v>0.3576456907713019</v>
      </c>
      <c r="M30" s="10">
        <v>-0.11609091747919258</v>
      </c>
      <c r="N30" s="12">
        <v>0.213684671578444</v>
      </c>
      <c r="O30" s="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I31" s="1"/>
      <c r="J31" s="11">
        <v>-0.8170491227254827</v>
      </c>
      <c r="K31" s="10">
        <v>1.1812065113373647</v>
      </c>
      <c r="L31" s="10">
        <v>-0.8715015174539364</v>
      </c>
      <c r="M31" s="10">
        <v>0.592896729358582</v>
      </c>
      <c r="N31" s="12">
        <v>1.4092254924676608</v>
      </c>
      <c r="O31" s="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I32" s="1"/>
      <c r="J32" s="11">
        <v>0.46499451517565493</v>
      </c>
      <c r="K32" s="10">
        <v>-0.28497097872606425</v>
      </c>
      <c r="L32" s="10">
        <v>0.6515113924424661</v>
      </c>
      <c r="M32" s="10">
        <v>0.9121045396513038</v>
      </c>
      <c r="N32" s="12">
        <v>0.5718877219783896</v>
      </c>
      <c r="O32" s="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I33" s="1"/>
      <c r="J33" s="13">
        <v>-0.04556458771505738</v>
      </c>
      <c r="K33" s="14">
        <v>-0.7552642420957864</v>
      </c>
      <c r="L33" s="14">
        <v>-0.4383460488493433</v>
      </c>
      <c r="M33" s="14">
        <v>1.3690164148778667</v>
      </c>
      <c r="N33" s="15">
        <v>0.6921350372977554</v>
      </c>
      <c r="O33" s="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I34" s="2"/>
      <c r="J34" s="1"/>
      <c r="K34" s="8"/>
      <c r="L34" s="16" t="s">
        <v>4</v>
      </c>
      <c r="M34" s="17"/>
      <c r="N34" s="8"/>
      <c r="O34" s="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17" t="s">
        <v>4</v>
      </c>
      <c r="M35" s="17"/>
      <c r="N35" s="2"/>
      <c r="O35" s="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B36" s="6" t="s">
        <v>10</v>
      </c>
      <c r="C36" s="7">
        <f t="shared" ref="C36:G36" si="11">NORMINV(rand(),0, 1)</f>
        <v>0.666984847</v>
      </c>
      <c r="D36" s="8">
        <f t="shared" si="11"/>
        <v>-0.9695600238</v>
      </c>
      <c r="E36" s="8">
        <f t="shared" si="11"/>
        <v>1.908340697</v>
      </c>
      <c r="F36" s="8">
        <f t="shared" si="11"/>
        <v>0.2893170851</v>
      </c>
      <c r="G36" s="8">
        <f t="shared" si="11"/>
        <v>-0.5273100299</v>
      </c>
      <c r="H36" s="11"/>
      <c r="I36" s="6" t="s">
        <v>11</v>
      </c>
      <c r="J36" s="7"/>
      <c r="K36" s="8"/>
      <c r="L36" s="8"/>
      <c r="M36" s="8"/>
      <c r="N36" s="9"/>
      <c r="O36" s="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B37" s="1"/>
      <c r="C37" s="11">
        <f t="shared" ref="C37:G37" si="12">NORMINV(rand(),0, 1)</f>
        <v>-1.846143344</v>
      </c>
      <c r="D37" s="10">
        <f t="shared" si="12"/>
        <v>-0.3758775065</v>
      </c>
      <c r="E37" s="10">
        <f t="shared" si="12"/>
        <v>-1.220725079</v>
      </c>
      <c r="F37" s="10">
        <f t="shared" si="12"/>
        <v>0.3319780472</v>
      </c>
      <c r="G37" s="10">
        <f t="shared" si="12"/>
        <v>0.5743800013</v>
      </c>
      <c r="H37" s="11"/>
      <c r="I37" s="6" t="s">
        <v>12</v>
      </c>
      <c r="J37" s="11"/>
      <c r="K37" s="10"/>
      <c r="L37" s="10"/>
      <c r="M37" s="10"/>
      <c r="N37" s="12"/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B38" s="1"/>
      <c r="C38" s="11">
        <f t="shared" ref="C38:G38" si="13">NORMINV(rand(),0, 1)</f>
        <v>-0.3816670931</v>
      </c>
      <c r="D38" s="10">
        <f t="shared" si="13"/>
        <v>0.2816756689</v>
      </c>
      <c r="E38" s="10">
        <f t="shared" si="13"/>
        <v>1.41806207</v>
      </c>
      <c r="F38" s="10">
        <f t="shared" si="13"/>
        <v>-0.5262406745</v>
      </c>
      <c r="G38" s="10">
        <f t="shared" si="13"/>
        <v>0.4081996993</v>
      </c>
      <c r="H38" s="19" t="s">
        <v>8</v>
      </c>
      <c r="I38" s="17" t="s">
        <v>8</v>
      </c>
      <c r="J38" s="11"/>
      <c r="K38" s="10"/>
      <c r="L38" s="10"/>
      <c r="M38" s="10"/>
      <c r="N38" s="12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B39" s="1"/>
      <c r="C39" s="11">
        <f t="shared" ref="C39:G39" si="14">NORMINV(rand(),0, 1)</f>
        <v>-0.2454880116</v>
      </c>
      <c r="D39" s="10">
        <f t="shared" si="14"/>
        <v>-1.008958025</v>
      </c>
      <c r="E39" s="10">
        <f t="shared" si="14"/>
        <v>-0.03528300714</v>
      </c>
      <c r="F39" s="10">
        <f t="shared" si="14"/>
        <v>-0.05813512123</v>
      </c>
      <c r="G39" s="10">
        <f t="shared" si="14"/>
        <v>-1.349227018</v>
      </c>
      <c r="H39" s="11"/>
      <c r="I39" s="2"/>
      <c r="J39" s="11"/>
      <c r="K39" s="10"/>
      <c r="L39" s="10"/>
      <c r="M39" s="10"/>
      <c r="N39" s="12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B40" s="1"/>
      <c r="C40" s="13">
        <f t="shared" ref="C40:G40" si="15">NORMINV(rand(),0, 1)</f>
        <v>-1.096249907</v>
      </c>
      <c r="D40" s="14">
        <f t="shared" si="15"/>
        <v>-0.4162193534</v>
      </c>
      <c r="E40" s="14">
        <f t="shared" si="15"/>
        <v>1.318452465</v>
      </c>
      <c r="F40" s="14">
        <f t="shared" si="15"/>
        <v>0.1458623939</v>
      </c>
      <c r="G40" s="14">
        <f t="shared" si="15"/>
        <v>1.068154577</v>
      </c>
      <c r="H40" s="11"/>
      <c r="I40" s="2"/>
      <c r="J40" s="13"/>
      <c r="K40" s="14"/>
      <c r="L40" s="14"/>
      <c r="M40" s="14"/>
      <c r="N40" s="15"/>
      <c r="O40" s="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4" t="s">
        <v>13</v>
      </c>
      <c r="AA42" s="4"/>
      <c r="AB42" s="4"/>
      <c r="AC42" s="4"/>
      <c r="AD42" s="4"/>
      <c r="AE42" s="4"/>
    </row>
    <row r="43">
      <c r="B43" s="1"/>
      <c r="C43" s="10"/>
      <c r="D43" s="10"/>
      <c r="E43" s="10"/>
      <c r="F43" s="10"/>
      <c r="G43" s="10"/>
      <c r="H43" s="10"/>
      <c r="I43" s="2"/>
      <c r="J43" s="2"/>
      <c r="K43" s="10"/>
      <c r="L43" s="10"/>
      <c r="M43" s="10"/>
      <c r="N43" s="10"/>
      <c r="O43" s="18"/>
      <c r="P43" s="10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C44" s="5"/>
      <c r="I44" s="6" t="s">
        <v>2</v>
      </c>
      <c r="J44" s="20">
        <f t="array" ref="J44:N48">J14:N18</f>
        <v>0.602311076</v>
      </c>
      <c r="K44" s="8">
        <v>0.3919418073167533</v>
      </c>
      <c r="L44" s="8">
        <v>-0.48389421468512284</v>
      </c>
      <c r="M44" s="8">
        <v>-0.7885378464146406</v>
      </c>
      <c r="N44" s="9">
        <v>0.743677023526336</v>
      </c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I45" s="6" t="s">
        <v>3</v>
      </c>
      <c r="J45" s="11">
        <v>-0.12666791834018415</v>
      </c>
      <c r="K45" s="10">
        <v>0.7077432219287846</v>
      </c>
      <c r="L45" s="10">
        <v>0.3576456907713019</v>
      </c>
      <c r="M45" s="10">
        <v>-0.11609091747919258</v>
      </c>
      <c r="N45" s="12">
        <v>0.213684671578444</v>
      </c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I46" s="1"/>
      <c r="J46" s="11">
        <v>-0.8170491227254827</v>
      </c>
      <c r="K46" s="10">
        <v>1.1812065113373647</v>
      </c>
      <c r="L46" s="10">
        <v>-0.8715015174539364</v>
      </c>
      <c r="M46" s="10">
        <v>0.592896729358582</v>
      </c>
      <c r="N46" s="12">
        <v>1.4092254924676608</v>
      </c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I47" s="1"/>
      <c r="J47" s="11">
        <v>0.46499451517565493</v>
      </c>
      <c r="K47" s="10">
        <v>-0.28497097872606425</v>
      </c>
      <c r="L47" s="10">
        <v>0.6515113924424661</v>
      </c>
      <c r="M47" s="10">
        <v>0.9121045396513038</v>
      </c>
      <c r="N47" s="12">
        <v>0.5718877219783896</v>
      </c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I48" s="1"/>
      <c r="J48" s="13">
        <v>-0.04556458771505738</v>
      </c>
      <c r="K48" s="14">
        <v>-0.7552642420957864</v>
      </c>
      <c r="L48" s="14">
        <v>-0.4383460488493433</v>
      </c>
      <c r="M48" s="14">
        <v>1.3690164148778667</v>
      </c>
      <c r="N48" s="15">
        <v>0.6921350372977554</v>
      </c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I49" s="2"/>
      <c r="J49" s="1"/>
      <c r="K49" s="8"/>
      <c r="L49" s="16" t="s">
        <v>4</v>
      </c>
      <c r="M49" s="17"/>
      <c r="N49" s="8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17" t="s">
        <v>4</v>
      </c>
      <c r="M50" s="17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B51" s="6" t="s">
        <v>14</v>
      </c>
      <c r="C51" s="7">
        <f t="shared" ref="C51:G51" si="16">NORMINV(rand(),0, 1)</f>
        <v>-0.471297273</v>
      </c>
      <c r="D51" s="8">
        <f t="shared" si="16"/>
        <v>-0.6007628822</v>
      </c>
      <c r="E51" s="8">
        <f t="shared" si="16"/>
        <v>-0.8375196837</v>
      </c>
      <c r="F51" s="8">
        <f t="shared" si="16"/>
        <v>-0.940931217</v>
      </c>
      <c r="G51" s="8">
        <f t="shared" si="16"/>
        <v>0.2041867999</v>
      </c>
      <c r="H51" s="11"/>
      <c r="I51" s="6" t="s">
        <v>15</v>
      </c>
      <c r="J51" s="7"/>
      <c r="K51" s="8"/>
      <c r="L51" s="8"/>
      <c r="M51" s="8"/>
      <c r="N51" s="9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B52" s="1"/>
      <c r="C52" s="11">
        <f t="shared" ref="C52:G52" si="17">NORMINV(rand(),0, 1)</f>
        <v>1.136607744</v>
      </c>
      <c r="D52" s="10">
        <f t="shared" si="17"/>
        <v>0.2631177235</v>
      </c>
      <c r="E52" s="10">
        <f t="shared" si="17"/>
        <v>-0.6082066795</v>
      </c>
      <c r="F52" s="10">
        <f t="shared" si="17"/>
        <v>0.511865598</v>
      </c>
      <c r="G52" s="10">
        <f t="shared" si="17"/>
        <v>-2.45739531</v>
      </c>
      <c r="H52" s="11"/>
      <c r="I52" s="6" t="s">
        <v>16</v>
      </c>
      <c r="J52" s="11"/>
      <c r="K52" s="10"/>
      <c r="L52" s="10"/>
      <c r="M52" s="10"/>
      <c r="N52" s="1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B53" s="1"/>
      <c r="C53" s="11">
        <f t="shared" ref="C53:G53" si="18">NORMINV(rand(),0, 1)</f>
        <v>-0.4161995297</v>
      </c>
      <c r="D53" s="10">
        <f t="shared" si="18"/>
        <v>-0.197506627</v>
      </c>
      <c r="E53" s="10">
        <f t="shared" si="18"/>
        <v>-0.5140410857</v>
      </c>
      <c r="F53" s="10">
        <f t="shared" si="18"/>
        <v>-0.7785237792</v>
      </c>
      <c r="G53" s="10">
        <f t="shared" si="18"/>
        <v>0.4312061377</v>
      </c>
      <c r="H53" s="19" t="s">
        <v>8</v>
      </c>
      <c r="I53" s="17" t="s">
        <v>8</v>
      </c>
      <c r="J53" s="11"/>
      <c r="K53" s="10"/>
      <c r="L53" s="10"/>
      <c r="M53" s="10"/>
      <c r="N53" s="1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B54" s="1"/>
      <c r="C54" s="11">
        <f t="shared" ref="C54:G54" si="19">NORMINV(rand(),0, 1)</f>
        <v>0.02555161165</v>
      </c>
      <c r="D54" s="10">
        <f t="shared" si="19"/>
        <v>0.4208903043</v>
      </c>
      <c r="E54" s="10">
        <f t="shared" si="19"/>
        <v>-0.6633550607</v>
      </c>
      <c r="F54" s="10">
        <f t="shared" si="19"/>
        <v>-0.2984477706</v>
      </c>
      <c r="G54" s="10">
        <f t="shared" si="19"/>
        <v>-1.333476417</v>
      </c>
      <c r="H54" s="11"/>
      <c r="I54" s="2"/>
      <c r="J54" s="11"/>
      <c r="K54" s="10"/>
      <c r="L54" s="10"/>
      <c r="M54" s="10"/>
      <c r="N54" s="1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B55" s="1"/>
      <c r="C55" s="13">
        <f t="shared" ref="C55:G55" si="20">NORMINV(rand(),0, 1)</f>
        <v>2.102881755</v>
      </c>
      <c r="D55" s="14">
        <f t="shared" si="20"/>
        <v>2.031345305</v>
      </c>
      <c r="E55" s="14">
        <f t="shared" si="20"/>
        <v>-1.006893451</v>
      </c>
      <c r="F55" s="14">
        <f t="shared" si="20"/>
        <v>0.7520892666</v>
      </c>
      <c r="G55" s="14">
        <f t="shared" si="20"/>
        <v>-0.2569171691</v>
      </c>
      <c r="H55" s="11"/>
      <c r="I55" s="2"/>
      <c r="J55" s="13"/>
      <c r="K55" s="14"/>
      <c r="L55" s="14"/>
      <c r="M55" s="14"/>
      <c r="N55" s="15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4" t="s">
        <v>17</v>
      </c>
      <c r="AA57" s="4"/>
      <c r="AB57" s="4"/>
      <c r="AC57" s="4"/>
      <c r="AD57" s="4"/>
      <c r="AE57" s="4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I65" s="6" t="s">
        <v>5</v>
      </c>
      <c r="J65" s="7">
        <f t="array" ref="J65:N69">$C$21:$G$25</f>
        <v>-0.348553156</v>
      </c>
      <c r="K65" s="8">
        <v>1.8755659761979686</v>
      </c>
      <c r="L65" s="8">
        <v>-0.5785006821310423</v>
      </c>
      <c r="M65" s="8">
        <v>-0.5770165000087861</v>
      </c>
      <c r="N65" s="9">
        <v>-0.11823043813346472</v>
      </c>
      <c r="O65" s="3"/>
      <c r="P65" s="6" t="s">
        <v>10</v>
      </c>
      <c r="Q65" s="7">
        <f t="array" ref="Q65:U69">$C$36:$G$40</f>
        <v>0.666984847</v>
      </c>
      <c r="R65" s="8">
        <v>-0.96956002383738</v>
      </c>
      <c r="S65" s="8">
        <v>1.908340697172096</v>
      </c>
      <c r="T65" s="8">
        <v>0.2893170851476591</v>
      </c>
      <c r="U65" s="9">
        <v>-0.5273100298769865</v>
      </c>
      <c r="V65" s="2"/>
      <c r="W65" s="6" t="s">
        <v>14</v>
      </c>
      <c r="X65" s="7">
        <f t="array" ref="X65:AB69">$C$51:$G$55</f>
        <v>-0.471297273</v>
      </c>
      <c r="Y65" s="8">
        <v>-0.6007628821582909</v>
      </c>
      <c r="Z65" s="8">
        <v>-0.8375196836716798</v>
      </c>
      <c r="AA65" s="8">
        <v>-0.9409312169872707</v>
      </c>
      <c r="AB65" s="9">
        <v>0.2041867999131089</v>
      </c>
      <c r="AC65" s="2"/>
      <c r="AD65" s="2"/>
      <c r="AE65" s="2"/>
    </row>
    <row r="66">
      <c r="I66" s="1"/>
      <c r="J66" s="11">
        <v>0.7812262759726472</v>
      </c>
      <c r="K66" s="10">
        <v>0.13119588503792498</v>
      </c>
      <c r="L66" s="10">
        <v>-0.5837625396009992</v>
      </c>
      <c r="M66" s="10">
        <v>0.09702089781590813</v>
      </c>
      <c r="N66" s="12">
        <v>-0.36877567724079263</v>
      </c>
      <c r="O66" s="3"/>
      <c r="P66" s="2"/>
      <c r="Q66" s="11">
        <v>-1.8461433438682904</v>
      </c>
      <c r="R66" s="10">
        <v>-0.3758775064971926</v>
      </c>
      <c r="S66" s="10">
        <v>-1.220725079373535</v>
      </c>
      <c r="T66" s="10">
        <v>0.3319780472096626</v>
      </c>
      <c r="U66" s="12">
        <v>0.5743800013031803</v>
      </c>
      <c r="V66" s="2"/>
      <c r="W66" s="2"/>
      <c r="X66" s="11">
        <v>1.136607743867136</v>
      </c>
      <c r="Y66" s="10">
        <v>0.2631177235423704</v>
      </c>
      <c r="Z66" s="10">
        <v>-0.6082066794744388</v>
      </c>
      <c r="AA66" s="10">
        <v>0.5118655980479437</v>
      </c>
      <c r="AB66" s="12">
        <v>-2.457395310367208</v>
      </c>
      <c r="AC66" s="2"/>
      <c r="AD66" s="2"/>
      <c r="AE66" s="2"/>
    </row>
    <row r="67">
      <c r="I67" s="1"/>
      <c r="J67" s="11">
        <v>-0.33129715096947554</v>
      </c>
      <c r="K67" s="10">
        <v>1.6904799478711885</v>
      </c>
      <c r="L67" s="10">
        <v>0.01753329172949354</v>
      </c>
      <c r="M67" s="10">
        <v>-0.18478747501122753</v>
      </c>
      <c r="N67" s="12">
        <v>0.38064469777451204</v>
      </c>
      <c r="O67" s="3"/>
      <c r="P67" s="2"/>
      <c r="Q67" s="11">
        <v>-0.3816670931087675</v>
      </c>
      <c r="R67" s="10">
        <v>0.2816756688934119</v>
      </c>
      <c r="S67" s="10">
        <v>1.418062070101652</v>
      </c>
      <c r="T67" s="10">
        <v>-0.5262406745226238</v>
      </c>
      <c r="U67" s="12">
        <v>0.40819969928087463</v>
      </c>
      <c r="V67" s="2"/>
      <c r="W67" s="2"/>
      <c r="X67" s="11">
        <v>-0.4161995297157492</v>
      </c>
      <c r="Y67" s="10">
        <v>-0.19750662699026272</v>
      </c>
      <c r="Z67" s="10">
        <v>-0.514041085706029</v>
      </c>
      <c r="AA67" s="10">
        <v>-0.7785237792346945</v>
      </c>
      <c r="AB67" s="12">
        <v>0.4312061377325472</v>
      </c>
      <c r="AC67" s="2"/>
      <c r="AD67" s="2"/>
      <c r="AE67" s="2"/>
    </row>
    <row r="68">
      <c r="I68" s="1"/>
      <c r="J68" s="11">
        <v>1.8745106926387343</v>
      </c>
      <c r="K68" s="10">
        <v>-0.21217006180060569</v>
      </c>
      <c r="L68" s="10">
        <v>-0.4102869139329501</v>
      </c>
      <c r="M68" s="10">
        <v>-0.4944961665028092</v>
      </c>
      <c r="N68" s="12">
        <v>0.3782544872633031</v>
      </c>
      <c r="O68" s="3"/>
      <c r="P68" s="2"/>
      <c r="Q68" s="11">
        <v>-0.24548801155662278</v>
      </c>
      <c r="R68" s="10">
        <v>-1.008958024851033</v>
      </c>
      <c r="S68" s="10">
        <v>-0.03528300714071811</v>
      </c>
      <c r="T68" s="10">
        <v>-0.05813512123319542</v>
      </c>
      <c r="U68" s="12">
        <v>-1.3492270180182386</v>
      </c>
      <c r="V68" s="2"/>
      <c r="W68" s="2"/>
      <c r="X68" s="11">
        <v>0.025551611647074063</v>
      </c>
      <c r="Y68" s="10">
        <v>0.420890304330707</v>
      </c>
      <c r="Z68" s="10">
        <v>-0.6633550607068595</v>
      </c>
      <c r="AA68" s="10">
        <v>-0.29844777058403255</v>
      </c>
      <c r="AB68" s="12">
        <v>-1.333476416962339</v>
      </c>
      <c r="AC68" s="2"/>
      <c r="AD68" s="2"/>
      <c r="AE68" s="2"/>
    </row>
    <row r="69">
      <c r="I69" s="1"/>
      <c r="J69" s="13">
        <v>-0.22987153419638656</v>
      </c>
      <c r="K69" s="14">
        <v>1.2065716244508424</v>
      </c>
      <c r="L69" s="14">
        <v>-1.3881716027114206</v>
      </c>
      <c r="M69" s="14">
        <v>0.7990950823948982</v>
      </c>
      <c r="N69" s="15">
        <v>-0.5625286542811443</v>
      </c>
      <c r="O69" s="3"/>
      <c r="P69" s="2"/>
      <c r="Q69" s="13">
        <v>-1.096249906913729</v>
      </c>
      <c r="R69" s="14">
        <v>-0.4162193533742523</v>
      </c>
      <c r="S69" s="14">
        <v>1.3184524651312346</v>
      </c>
      <c r="T69" s="14">
        <v>0.14586239389775427</v>
      </c>
      <c r="U69" s="15">
        <v>1.0681545770383882</v>
      </c>
      <c r="V69" s="2"/>
      <c r="W69" s="2"/>
      <c r="X69" s="13">
        <v>2.1028817549353254</v>
      </c>
      <c r="Y69" s="14">
        <v>2.0313453048139536</v>
      </c>
      <c r="Z69" s="14">
        <v>-1.0068934507109522</v>
      </c>
      <c r="AA69" s="14">
        <v>0.7520892665541032</v>
      </c>
      <c r="AB69" s="15">
        <v>-0.2569171690770207</v>
      </c>
      <c r="AC69" s="2"/>
      <c r="AD69" s="2"/>
      <c r="AE69" s="2"/>
    </row>
    <row r="70">
      <c r="I70" s="1"/>
      <c r="J70" s="2"/>
      <c r="K70" s="2"/>
      <c r="L70" s="21" t="s">
        <v>4</v>
      </c>
      <c r="M70" s="2"/>
      <c r="N70" s="2"/>
      <c r="O70" s="3"/>
      <c r="P70" s="2"/>
      <c r="Q70" s="2"/>
      <c r="R70" s="2"/>
      <c r="S70" s="21" t="s">
        <v>4</v>
      </c>
      <c r="T70" s="2"/>
      <c r="U70" s="2"/>
      <c r="V70" s="2"/>
      <c r="W70" s="2"/>
      <c r="X70" s="2"/>
      <c r="Y70" s="2"/>
      <c r="Z70" s="21" t="s">
        <v>4</v>
      </c>
      <c r="AA70" s="2"/>
      <c r="AB70" s="2"/>
      <c r="AC70" s="2"/>
      <c r="AD70" s="2"/>
      <c r="AE70" s="2"/>
    </row>
    <row r="71">
      <c r="I71" s="1"/>
      <c r="J71" s="2"/>
      <c r="K71" s="2"/>
      <c r="L71" s="21" t="s">
        <v>4</v>
      </c>
      <c r="M71" s="2"/>
      <c r="N71" s="2"/>
      <c r="O71" s="3"/>
      <c r="P71" s="2"/>
      <c r="Q71" s="2"/>
      <c r="R71" s="2"/>
      <c r="S71" s="21" t="s">
        <v>4</v>
      </c>
      <c r="T71" s="2"/>
      <c r="U71" s="2"/>
      <c r="V71" s="2"/>
      <c r="W71" s="2"/>
      <c r="X71" s="2"/>
      <c r="Y71" s="2"/>
      <c r="Z71" s="21" t="s">
        <v>4</v>
      </c>
      <c r="AA71" s="2"/>
      <c r="AB71" s="2"/>
      <c r="AC71" s="2"/>
      <c r="AD71" s="2"/>
      <c r="AE71" s="2"/>
    </row>
    <row r="72">
      <c r="B72" s="6" t="s">
        <v>2</v>
      </c>
      <c r="C72" s="7">
        <f t="array" ref="C72:G76">$J$14:$N$18</f>
        <v>0.602311076</v>
      </c>
      <c r="D72" s="8">
        <v>0.3919418073167533</v>
      </c>
      <c r="E72" s="8">
        <v>-0.48389421468512284</v>
      </c>
      <c r="F72" s="8">
        <v>-0.7885378464146406</v>
      </c>
      <c r="G72" s="9">
        <v>0.743677023526336</v>
      </c>
      <c r="I72" s="6" t="s">
        <v>6</v>
      </c>
      <c r="J72" s="7">
        <f t="array" ref="J72:N76">MMULT(J65:N69,C72:G76)</f>
        <v>-0.237770376</v>
      </c>
      <c r="K72" s="8">
        <v>0.7612059594636884</v>
      </c>
      <c r="L72" s="8">
        <v>1.0195081892121345</v>
      </c>
      <c r="M72" s="8">
        <v>-0.974038761970205</v>
      </c>
      <c r="N72" s="9">
        <v>-1.0854892630837811</v>
      </c>
      <c r="O72" s="3"/>
      <c r="P72" s="6" t="s">
        <v>11</v>
      </c>
      <c r="Q72" s="7">
        <f t="array" ref="Q72:U76">MMULT(Q65:U69,C72:G76)</f>
        <v>-0.8761060598</v>
      </c>
      <c r="R72" s="8">
        <v>2.145175605777132</v>
      </c>
      <c r="S72" s="8">
        <v>-1.9129932415244977</v>
      </c>
      <c r="T72" s="8">
        <v>0.26005461582445166</v>
      </c>
      <c r="U72" s="9">
        <v>2.7786106908445514</v>
      </c>
      <c r="V72" s="2"/>
      <c r="W72" s="6" t="s">
        <v>15</v>
      </c>
      <c r="X72" s="7">
        <f t="array" ref="X72:AB76">MMULT(X65:AB69,C72:G76)</f>
        <v>0.02969299648</v>
      </c>
      <c r="Y72" s="8">
        <v>-1.485267565392957</v>
      </c>
      <c r="Z72" s="8">
        <v>0.04056555870629239</v>
      </c>
      <c r="AA72" s="8">
        <v>-0.6338763840915111</v>
      </c>
      <c r="AB72" s="9">
        <v>-2.055903032884179</v>
      </c>
      <c r="AC72" s="10"/>
      <c r="AD72" s="10"/>
      <c r="AE72" s="10"/>
    </row>
    <row r="73">
      <c r="B73" s="6" t="s">
        <v>3</v>
      </c>
      <c r="C73" s="11">
        <v>-0.12666791834018415</v>
      </c>
      <c r="D73" s="10">
        <v>0.7077432219287846</v>
      </c>
      <c r="E73" s="10">
        <v>0.3576456907713019</v>
      </c>
      <c r="F73" s="10">
        <v>-0.11609091747919258</v>
      </c>
      <c r="G73" s="12">
        <v>0.213684671578444</v>
      </c>
      <c r="I73" s="1"/>
      <c r="J73" s="11">
        <v>0.9928028971102808</v>
      </c>
      <c r="K73" s="10">
        <v>-0.03962093377579423</v>
      </c>
      <c r="L73" s="10">
        <v>0.402502287984911</v>
      </c>
      <c r="M73" s="10">
        <v>-1.3937347905444526</v>
      </c>
      <c r="N73" s="12">
        <v>-0.4133959780160392</v>
      </c>
      <c r="O73" s="3"/>
      <c r="P73" s="1"/>
      <c r="Q73" s="11">
        <v>0.061247975786114406</v>
      </c>
      <c r="R73" s="10">
        <v>-2.9599467139573816</v>
      </c>
      <c r="S73" s="10">
        <v>1.787281147877411</v>
      </c>
      <c r="T73" s="10">
        <v>1.8647602882152436</v>
      </c>
      <c r="U73" s="12">
        <v>-2.5861278568576687</v>
      </c>
      <c r="V73" s="2"/>
      <c r="W73" s="1"/>
      <c r="X73" s="11">
        <v>1.4981824925291645</v>
      </c>
      <c r="Y73" s="10">
        <v>1.6234021548761668</v>
      </c>
      <c r="Z73" s="10">
        <v>1.4848338457424426</v>
      </c>
      <c r="AA73" s="10">
        <v>-4.184747133598442</v>
      </c>
      <c r="AB73" s="12">
        <v>-1.3637268131563638</v>
      </c>
      <c r="AC73" s="10"/>
      <c r="AD73" s="10"/>
      <c r="AE73" s="10"/>
    </row>
    <row r="74">
      <c r="B74" s="1"/>
      <c r="C74" s="11">
        <v>-0.8170491227254827</v>
      </c>
      <c r="D74" s="10">
        <v>1.1812065113373647</v>
      </c>
      <c r="E74" s="10">
        <v>-0.8715015174539364</v>
      </c>
      <c r="F74" s="10">
        <v>0.592896729358582</v>
      </c>
      <c r="G74" s="12">
        <v>1.4092254924676608</v>
      </c>
      <c r="H74" s="21"/>
      <c r="I74" s="21"/>
      <c r="J74" s="11">
        <v>-0.5312681611626326</v>
      </c>
      <c r="K74" s="10">
        <v>0.8524586975963675</v>
      </c>
      <c r="L74" s="10">
        <v>0.46238010860360046</v>
      </c>
      <c r="M74" s="10">
        <v>0.4279497498026281</v>
      </c>
      <c r="N74" s="12">
        <v>0.29733977896418523</v>
      </c>
      <c r="O74" s="3"/>
      <c r="P74" s="1"/>
      <c r="Q74" s="11">
        <v>-1.6874864368087545</v>
      </c>
      <c r="R74" s="10">
        <v>1.5664515894228792</v>
      </c>
      <c r="S74" s="10">
        <v>-1.4722011784109454</v>
      </c>
      <c r="T74" s="10">
        <v>1.1878689048871287</v>
      </c>
      <c r="U74" s="12">
        <v>1.7563006776283474</v>
      </c>
      <c r="V74" s="2"/>
      <c r="W74" s="1"/>
      <c r="X74" s="11">
        <v>-0.18732403231040004</v>
      </c>
      <c r="Y74" s="10">
        <v>-1.0139165434220367</v>
      </c>
      <c r="Z74" s="10">
        <v>-0.11748788140466393</v>
      </c>
      <c r="AA74" s="10">
        <v>-0.07342226460918677</v>
      </c>
      <c r="AB74" s="12">
        <v>-1.222897282717738</v>
      </c>
      <c r="AC74" s="10"/>
      <c r="AD74" s="10"/>
      <c r="AE74" s="10"/>
    </row>
    <row r="75">
      <c r="B75" s="1"/>
      <c r="C75" s="11">
        <v>0.46499451517565493</v>
      </c>
      <c r="D75" s="10">
        <v>-0.28497097872606425</v>
      </c>
      <c r="E75" s="10">
        <v>0.6515113924424661</v>
      </c>
      <c r="F75" s="10">
        <v>0.9121045396513038</v>
      </c>
      <c r="G75" s="12">
        <v>0.5718877219783896</v>
      </c>
      <c r="I75" s="1"/>
      <c r="J75" s="11">
        <v>1.2439652404190353</v>
      </c>
      <c r="K75" s="10">
        <v>-0.04486142077995542</v>
      </c>
      <c r="L75" s="10">
        <v>-1.1133571657100048</v>
      </c>
      <c r="M75" s="10">
        <v>-1.629944973130693</v>
      </c>
      <c r="N75" s="12">
        <v>0.7495131616167172</v>
      </c>
      <c r="O75" s="3"/>
      <c r="P75" s="1"/>
      <c r="Q75" s="11">
        <v>0.043214874647881</v>
      </c>
      <c r="R75" s="10">
        <v>0.18361300757763466</v>
      </c>
      <c r="S75" s="10">
        <v>0.342242571637808</v>
      </c>
      <c r="T75" s="10">
        <v>-1.6103509718329057</v>
      </c>
      <c r="U75" s="12">
        <v>-1.4149784255243576</v>
      </c>
      <c r="V75" s="2"/>
      <c r="W75" s="1"/>
      <c r="X75" s="11">
        <v>0.4260531171898217</v>
      </c>
      <c r="Y75" s="10">
        <v>0.6165136965704854</v>
      </c>
      <c r="Z75" s="10">
        <v>1.1063622646208433</v>
      </c>
      <c r="AA75" s="10">
        <v>-2.5600776703774875</v>
      </c>
      <c r="AB75" s="12">
        <v>-1.9195012743968207</v>
      </c>
      <c r="AC75" s="10"/>
      <c r="AD75" s="10"/>
      <c r="AE75" s="10"/>
    </row>
    <row r="76">
      <c r="B76" s="1"/>
      <c r="C76" s="13">
        <v>-0.04556458771505738</v>
      </c>
      <c r="D76" s="14">
        <v>-0.7552642420957864</v>
      </c>
      <c r="E76" s="14">
        <v>-0.4383460488493433</v>
      </c>
      <c r="F76" s="14">
        <v>1.3690164148778667</v>
      </c>
      <c r="G76" s="15">
        <v>0.6921350372977554</v>
      </c>
      <c r="I76" s="1"/>
      <c r="J76" s="13">
        <v>1.2401225197182961</v>
      </c>
      <c r="K76" s="14">
        <v>-0.6787318415557233</v>
      </c>
      <c r="L76" s="14">
        <v>2.5197540686533695</v>
      </c>
      <c r="M76" s="14">
        <v>-0.8231047146802959</v>
      </c>
      <c r="N76" s="15">
        <v>-1.801724252295561</v>
      </c>
      <c r="O76" s="3"/>
      <c r="P76" s="1"/>
      <c r="Q76" s="13">
        <v>-1.6656470616911385</v>
      </c>
      <c r="R76" s="14">
        <v>-0.015183465487397463</v>
      </c>
      <c r="S76" s="14">
        <v>-1.1406137214498169</v>
      </c>
      <c r="T76" s="14">
        <v>3.289822882957911</v>
      </c>
      <c r="U76" s="15">
        <v>1.7765253810115056</v>
      </c>
      <c r="V76" s="2"/>
      <c r="W76" s="1"/>
      <c r="X76" s="13">
        <v>2.193387810626498</v>
      </c>
      <c r="Y76" s="14">
        <v>1.0522457828840501</v>
      </c>
      <c r="Z76" s="14">
        <v>1.189052100804318</v>
      </c>
      <c r="AA76" s="14">
        <v>-2.15674621167672</v>
      </c>
      <c r="AB76" s="15">
        <v>0.831281522691587</v>
      </c>
      <c r="AC76" s="10"/>
      <c r="AD76" s="10"/>
      <c r="AE76" s="10"/>
    </row>
    <row r="77">
      <c r="O77" s="3"/>
    </row>
    <row r="78">
      <c r="O78" s="3"/>
    </row>
    <row r="79">
      <c r="O79" s="3"/>
    </row>
    <row r="80">
      <c r="O80" s="3"/>
    </row>
    <row r="81">
      <c r="O81" s="3"/>
    </row>
    <row r="82">
      <c r="O82" s="3"/>
    </row>
    <row r="83">
      <c r="A83" s="4" t="s">
        <v>18</v>
      </c>
      <c r="AA83" s="4"/>
      <c r="AB83" s="4"/>
      <c r="AC83" s="4"/>
      <c r="AD83" s="4"/>
      <c r="AE83" s="4"/>
    </row>
    <row r="84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H85" s="2"/>
      <c r="I85" s="6" t="s">
        <v>11</v>
      </c>
      <c r="J85" s="7">
        <f t="array" ref="J85:N89">Q72:U76</f>
        <v>-0.8761060598</v>
      </c>
      <c r="K85" s="8">
        <v>2.145175605777132</v>
      </c>
      <c r="L85" s="8">
        <v>-1.9129932415244977</v>
      </c>
      <c r="M85" s="8">
        <v>0.26005461582445166</v>
      </c>
      <c r="N85" s="9">
        <v>2.7786106908445514</v>
      </c>
      <c r="O85" s="3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H86" s="2"/>
      <c r="I86" s="1"/>
      <c r="J86" s="11">
        <v>0.061247975786114406</v>
      </c>
      <c r="K86" s="10">
        <v>-2.9599467139573816</v>
      </c>
      <c r="L86" s="10">
        <v>1.787281147877411</v>
      </c>
      <c r="M86" s="10">
        <v>1.8647602882152436</v>
      </c>
      <c r="N86" s="12">
        <v>-2.5861278568576687</v>
      </c>
      <c r="O86" s="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H87" s="2"/>
      <c r="I87" s="1"/>
      <c r="J87" s="11">
        <v>-1.6874864368087545</v>
      </c>
      <c r="K87" s="10">
        <v>1.5664515894228792</v>
      </c>
      <c r="L87" s="10">
        <v>-1.4722011784109454</v>
      </c>
      <c r="M87" s="10">
        <v>1.1878689048871287</v>
      </c>
      <c r="N87" s="12">
        <v>1.7563006776283474</v>
      </c>
      <c r="O87" s="3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H88" s="2"/>
      <c r="I88" s="1"/>
      <c r="J88" s="11">
        <v>0.043214874647881</v>
      </c>
      <c r="K88" s="10">
        <v>0.18361300757763466</v>
      </c>
      <c r="L88" s="10">
        <v>0.342242571637808</v>
      </c>
      <c r="M88" s="10">
        <v>-1.6103509718329057</v>
      </c>
      <c r="N88" s="12">
        <v>-1.4149784255243576</v>
      </c>
      <c r="O88" s="3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H89" s="2"/>
      <c r="I89" s="1"/>
      <c r="J89" s="13">
        <v>-1.6656470616911385</v>
      </c>
      <c r="K89" s="14">
        <v>-0.015183465487397463</v>
      </c>
      <c r="L89" s="14">
        <v>-1.1406137214498169</v>
      </c>
      <c r="M89" s="14">
        <v>3.289822882957911</v>
      </c>
      <c r="N89" s="15">
        <v>1.7765253810115056</v>
      </c>
      <c r="O89" s="3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B90" s="1"/>
      <c r="C90" s="2"/>
      <c r="D90" s="2"/>
      <c r="E90" s="2"/>
      <c r="F90" s="2"/>
      <c r="G90" s="2"/>
      <c r="H90" s="2"/>
      <c r="I90" s="2"/>
      <c r="J90" s="2"/>
      <c r="K90" s="2"/>
      <c r="L90" s="21" t="s">
        <v>4</v>
      </c>
      <c r="M90" s="2"/>
      <c r="N90" s="2"/>
      <c r="O90" s="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B91" s="1"/>
      <c r="C91" s="2"/>
      <c r="D91" s="2"/>
      <c r="E91" s="2"/>
      <c r="F91" s="2"/>
      <c r="G91" s="2"/>
      <c r="H91" s="2"/>
      <c r="I91" s="2"/>
      <c r="J91" s="2"/>
      <c r="K91" s="2"/>
      <c r="L91" s="21" t="s">
        <v>4</v>
      </c>
      <c r="M91" s="2"/>
      <c r="N91" s="2"/>
      <c r="O91" s="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B92" s="1"/>
      <c r="C92" s="2"/>
      <c r="D92" s="2"/>
      <c r="E92" s="2"/>
      <c r="F92" s="2"/>
      <c r="G92" s="2"/>
      <c r="H92" s="2"/>
      <c r="I92" s="6" t="s">
        <v>19</v>
      </c>
      <c r="J92" s="22"/>
      <c r="K92" s="23"/>
      <c r="L92" s="23"/>
      <c r="M92" s="23"/>
      <c r="N92" s="24"/>
      <c r="O92" s="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B93" s="1"/>
      <c r="C93" s="2"/>
      <c r="D93" s="2"/>
      <c r="E93" s="2"/>
      <c r="F93" s="2"/>
      <c r="G93" s="2"/>
      <c r="H93" s="2"/>
      <c r="I93" s="2"/>
      <c r="J93" s="25"/>
      <c r="K93" s="2"/>
      <c r="L93" s="2"/>
      <c r="M93" s="2"/>
      <c r="N93" s="26"/>
      <c r="O93" s="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B94" s="1"/>
      <c r="C94" s="2"/>
      <c r="D94" s="2"/>
      <c r="E94" s="2"/>
      <c r="F94" s="2"/>
      <c r="G94" s="2"/>
      <c r="H94" s="2"/>
      <c r="I94" s="2"/>
      <c r="J94" s="25"/>
      <c r="K94" s="2"/>
      <c r="L94" s="2"/>
      <c r="M94" s="2"/>
      <c r="N94" s="26"/>
      <c r="O94" s="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B95" s="1"/>
      <c r="C95" s="2"/>
      <c r="D95" s="2"/>
      <c r="E95" s="2"/>
      <c r="F95" s="2"/>
      <c r="G95" s="2"/>
      <c r="H95" s="2"/>
      <c r="I95" s="2"/>
      <c r="J95" s="25"/>
      <c r="K95" s="2"/>
      <c r="L95" s="2"/>
      <c r="M95" s="2"/>
      <c r="N95" s="26"/>
      <c r="O95" s="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B96" s="1"/>
      <c r="C96" s="2"/>
      <c r="D96" s="2"/>
      <c r="E96" s="2"/>
      <c r="F96" s="2"/>
      <c r="G96" s="2"/>
      <c r="H96" s="2"/>
      <c r="I96" s="2"/>
      <c r="J96" s="27"/>
      <c r="K96" s="28"/>
      <c r="L96" s="28"/>
      <c r="M96" s="28"/>
      <c r="N96" s="29"/>
      <c r="O96" s="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1" t="s">
        <v>4</v>
      </c>
      <c r="M97" s="2"/>
      <c r="N97" s="2"/>
      <c r="O97" s="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1" t="s">
        <v>4</v>
      </c>
      <c r="M98" s="2"/>
      <c r="N98" s="2"/>
      <c r="O98" s="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B99" s="6" t="s">
        <v>6</v>
      </c>
      <c r="C99" s="7">
        <f t="array" ref="C99:G103">J72:N76</f>
        <v>-0.237770376</v>
      </c>
      <c r="D99" s="8">
        <v>0.7612059594636884</v>
      </c>
      <c r="E99" s="8">
        <v>1.0195081892121345</v>
      </c>
      <c r="F99" s="8">
        <v>-0.974038761970205</v>
      </c>
      <c r="G99" s="9">
        <v>-1.0854892630837811</v>
      </c>
      <c r="H99" s="2"/>
      <c r="I99" s="6" t="s">
        <v>20</v>
      </c>
      <c r="J99" s="7"/>
      <c r="K99" s="8"/>
      <c r="L99" s="8"/>
      <c r="M99" s="8"/>
      <c r="N99" s="9"/>
      <c r="O99" s="3"/>
      <c r="P99" s="2"/>
      <c r="Q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B100" s="1"/>
      <c r="C100" s="11">
        <v>0.9928028971102808</v>
      </c>
      <c r="D100" s="10">
        <v>-0.03962093377579423</v>
      </c>
      <c r="E100" s="10">
        <v>0.402502287984911</v>
      </c>
      <c r="F100" s="10">
        <v>-1.3937347905444526</v>
      </c>
      <c r="G100" s="12">
        <v>-0.4133959780160392</v>
      </c>
      <c r="H100" s="2"/>
      <c r="I100" s="2"/>
      <c r="J100" s="11"/>
      <c r="K100" s="10"/>
      <c r="L100" s="10"/>
      <c r="M100" s="10"/>
      <c r="N100" s="12"/>
      <c r="O100" s="3"/>
      <c r="P100" s="2"/>
      <c r="Q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B101" s="1"/>
      <c r="C101" s="11">
        <v>-0.5312681611626326</v>
      </c>
      <c r="D101" s="10">
        <v>0.8524586975963675</v>
      </c>
      <c r="E101" s="10">
        <v>0.46238010860360046</v>
      </c>
      <c r="F101" s="10">
        <v>0.4279497498026281</v>
      </c>
      <c r="G101" s="12">
        <v>0.29733977896418523</v>
      </c>
      <c r="H101" s="19" t="s">
        <v>8</v>
      </c>
      <c r="I101" s="17" t="s">
        <v>8</v>
      </c>
      <c r="J101" s="11"/>
      <c r="K101" s="10"/>
      <c r="L101" s="10"/>
      <c r="M101" s="10"/>
      <c r="N101" s="12"/>
      <c r="O101" s="3"/>
      <c r="P101" s="2"/>
      <c r="Q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B102" s="1"/>
      <c r="C102" s="11">
        <v>1.2439652404190353</v>
      </c>
      <c r="D102" s="10">
        <v>-0.04486142077995542</v>
      </c>
      <c r="E102" s="10">
        <v>-1.1133571657100048</v>
      </c>
      <c r="F102" s="10">
        <v>-1.629944973130693</v>
      </c>
      <c r="G102" s="12">
        <v>0.7495131616167172</v>
      </c>
      <c r="H102" s="2"/>
      <c r="I102" s="2"/>
      <c r="J102" s="11"/>
      <c r="K102" s="10"/>
      <c r="L102" s="10"/>
      <c r="M102" s="10"/>
      <c r="N102" s="12"/>
      <c r="O102" s="3"/>
      <c r="P102" s="2"/>
      <c r="Q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B103" s="1"/>
      <c r="C103" s="13">
        <v>1.2401225197182961</v>
      </c>
      <c r="D103" s="14">
        <v>-0.6787318415557233</v>
      </c>
      <c r="E103" s="14">
        <v>2.5197540686533695</v>
      </c>
      <c r="F103" s="14">
        <v>-0.8231047146802959</v>
      </c>
      <c r="G103" s="15">
        <v>-1.801724252295561</v>
      </c>
      <c r="H103" s="2"/>
      <c r="I103" s="2"/>
      <c r="J103" s="13"/>
      <c r="K103" s="14"/>
      <c r="L103" s="14"/>
      <c r="M103" s="14"/>
      <c r="N103" s="15"/>
      <c r="O103" s="3"/>
      <c r="P103" s="2"/>
      <c r="Q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1" t="s">
        <v>4</v>
      </c>
      <c r="M104" s="2"/>
      <c r="N104" s="2"/>
      <c r="O104" s="3"/>
      <c r="P104" s="2"/>
      <c r="Q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1" t="s">
        <v>4</v>
      </c>
      <c r="M105" s="2"/>
      <c r="N105" s="2"/>
      <c r="O105" s="3"/>
      <c r="P105" s="2"/>
      <c r="Q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B106" s="1"/>
      <c r="C106" s="2"/>
      <c r="D106" s="6" t="s">
        <v>21</v>
      </c>
      <c r="E106" s="30">
        <f>power(5, 0.5)</f>
        <v>2.236067977</v>
      </c>
      <c r="F106" s="2"/>
      <c r="G106" s="2"/>
      <c r="H106" s="2"/>
      <c r="I106" s="6" t="s">
        <v>22</v>
      </c>
      <c r="J106" s="31" t="s">
        <v>23</v>
      </c>
      <c r="K106" s="8"/>
      <c r="L106" s="8"/>
      <c r="M106" s="8"/>
      <c r="N106" s="9"/>
      <c r="O106" s="3"/>
      <c r="P106" s="32" t="str">
        <f>IFERROR(__xludf.DUMMYFUNCTION("SPARKLINE((J106-MIN($J106:$N106))/SUMPRODUCT($J106:$N106-MIN($J106:$N106)), {""charttype"",""bar""; ""max"",1; ""color1"",""#4285F4""})"),"#VALUE!")</f>
        <v>#VALUE!</v>
      </c>
      <c r="Q106" s="32" t="str">
        <f>IFERROR(__xludf.DUMMYFUNCTION("SPARKLINE((K106-MIN($J106:$N106))/SUMPRODUCT($J106:$N106-MIN($J106:$N106)), {""charttype"",""bar""; ""max"",1; ""color1"",""#4285F4""})"),"#VALUE!")</f>
        <v>#VALUE!</v>
      </c>
      <c r="R106" s="32" t="str">
        <f>IFERROR(__xludf.DUMMYFUNCTION("SPARKLINE((L106-MIN($J106:$N106))/SUMPRODUCT($J106:$N106-MIN($J106:$N106)), {""charttype"",""bar""; ""max"",1; ""color1"",""#4285F4""})"),"#VALUE!")</f>
        <v>#VALUE!</v>
      </c>
      <c r="S106" s="32" t="str">
        <f>IFERROR(__xludf.DUMMYFUNCTION("SPARKLINE((M106-MIN($J106:$N106))/SUMPRODUCT($J106:$N106-MIN($J106:$N106)), {""charttype"",""bar""; ""max"",1; ""color1"",""#4285F4""})"),"#VALUE!")</f>
        <v>#VALUE!</v>
      </c>
      <c r="T106" s="32" t="str">
        <f>IFERROR(__xludf.DUMMYFUNCTION("SPARKLINE((N106-MIN($J106:$N106))/SUMPRODUCT($J106:$N106-MIN($J106:$N106)), {""charttype"",""bar""; ""max"",1; ""color1"",""#4285F4""})"),"#VALUE!")</f>
        <v>#VALUE!</v>
      </c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B107" s="1"/>
      <c r="C107" s="2"/>
      <c r="D107" s="2"/>
      <c r="E107" s="2"/>
      <c r="F107" s="2"/>
      <c r="G107" s="2"/>
      <c r="H107" s="2"/>
      <c r="I107" s="6"/>
      <c r="J107" s="11"/>
      <c r="K107" s="10"/>
      <c r="L107" s="10"/>
      <c r="M107" s="10"/>
      <c r="N107" s="12"/>
      <c r="O107" s="3"/>
      <c r="P107" s="32" t="str">
        <f>IFERROR(__xludf.DUMMYFUNCTION("SPARKLINE((J107-MIN($J107:$N107))/SUMPRODUCT($J107:$N107-MIN($J107:$N107)), {""charttype"",""bar""; ""max"",1; ""color1"",""#4285F4""})"),"#DIV/0!")</f>
        <v>#DIV/0!</v>
      </c>
      <c r="Q107" s="32" t="str">
        <f>IFERROR(__xludf.DUMMYFUNCTION("SPARKLINE((K107-MIN($J107:$N107))/SUMPRODUCT($J107:$N107-MIN($J107:$N107)), {""charttype"",""bar""; ""max"",1; ""color1"",""#4285F4""})"),"#DIV/0!")</f>
        <v>#DIV/0!</v>
      </c>
      <c r="R107" s="32" t="str">
        <f>IFERROR(__xludf.DUMMYFUNCTION("SPARKLINE((L107-MIN($J107:$N107))/SUMPRODUCT($J107:$N107-MIN($J107:$N107)), {""charttype"",""bar""; ""max"",1; ""color1"",""#4285F4""})"),"#DIV/0!")</f>
        <v>#DIV/0!</v>
      </c>
      <c r="S107" s="32" t="str">
        <f>IFERROR(__xludf.DUMMYFUNCTION("SPARKLINE((M107-MIN($J107:$N107))/SUMPRODUCT($J107:$N107-MIN($J107:$N107)), {""charttype"",""bar""; ""max"",1; ""color1"",""#4285F4""})"),"#DIV/0!")</f>
        <v>#DIV/0!</v>
      </c>
      <c r="T107" s="32" t="str">
        <f>IFERROR(__xludf.DUMMYFUNCTION("SPARKLINE((N107-MIN($J107:$N107))/SUMPRODUCT($J107:$N107-MIN($J107:$N107)), {""charttype"",""bar""; ""max"",1; ""color1"",""#4285F4""})"),"#DIV/0!")</f>
        <v>#DIV/0!</v>
      </c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B108" s="1"/>
      <c r="C108" s="2"/>
      <c r="D108" s="2"/>
      <c r="E108" s="2"/>
      <c r="F108" s="6"/>
      <c r="G108" s="30"/>
      <c r="H108" s="2"/>
      <c r="I108" s="2"/>
      <c r="J108" s="11"/>
      <c r="K108" s="10"/>
      <c r="L108" s="10"/>
      <c r="M108" s="10"/>
      <c r="N108" s="12"/>
      <c r="O108" s="3"/>
      <c r="P108" s="32" t="str">
        <f>IFERROR(__xludf.DUMMYFUNCTION("SPARKLINE((J108-MIN($J108:$N108))/SUMPRODUCT($J108:$N108-MIN($J108:$N108)), {""charttype"",""bar""; ""max"",1; ""color1"",""#4285F4""})"),"#DIV/0!")</f>
        <v>#DIV/0!</v>
      </c>
      <c r="Q108" s="32" t="str">
        <f>IFERROR(__xludf.DUMMYFUNCTION("SPARKLINE((K108-MIN($J108:$N108))/SUMPRODUCT($J108:$N108-MIN($J108:$N108)), {""charttype"",""bar""; ""max"",1; ""color1"",""#4285F4""})"),"#DIV/0!")</f>
        <v>#DIV/0!</v>
      </c>
      <c r="R108" s="32" t="str">
        <f>IFERROR(__xludf.DUMMYFUNCTION("SPARKLINE((L108-MIN($J108:$N108))/SUMPRODUCT($J108:$N108-MIN($J108:$N108)), {""charttype"",""bar""; ""max"",1; ""color1"",""#4285F4""})"),"#DIV/0!")</f>
        <v>#DIV/0!</v>
      </c>
      <c r="S108" s="32" t="str">
        <f>IFERROR(__xludf.DUMMYFUNCTION("SPARKLINE((M108-MIN($J108:$N108))/SUMPRODUCT($J108:$N108-MIN($J108:$N108)), {""charttype"",""bar""; ""max"",1; ""color1"",""#4285F4""})"),"#DIV/0!")</f>
        <v>#DIV/0!</v>
      </c>
      <c r="T108" s="32" t="str">
        <f>IFERROR(__xludf.DUMMYFUNCTION("SPARKLINE((N108-MIN($J108:$N108))/SUMPRODUCT($J108:$N108-MIN($J108:$N108)), {""charttype"",""bar""; ""max"",1; ""color1"",""#4285F4""})"),"#DIV/0!")</f>
        <v>#DIV/0!</v>
      </c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B109" s="1"/>
      <c r="C109" s="2"/>
      <c r="D109" s="2"/>
      <c r="E109" s="2"/>
      <c r="F109" s="6" t="s">
        <v>21</v>
      </c>
      <c r="G109" s="33">
        <f>POWER(5, 0.5)</f>
        <v>2.236067977</v>
      </c>
      <c r="H109" s="17" t="s">
        <v>8</v>
      </c>
      <c r="I109" s="17" t="s">
        <v>8</v>
      </c>
      <c r="J109" s="11"/>
      <c r="K109" s="10"/>
      <c r="L109" s="10"/>
      <c r="M109" s="10"/>
      <c r="N109" s="12"/>
      <c r="O109" s="3"/>
      <c r="P109" s="32" t="str">
        <f>IFERROR(__xludf.DUMMYFUNCTION("SPARKLINE((J109-MIN($J109:$N109))/SUMPRODUCT($J109:$N109-MIN($J109:$N109)), {""charttype"",""bar""; ""max"",1; ""color1"",""#4285F4""})"),"#DIV/0!")</f>
        <v>#DIV/0!</v>
      </c>
      <c r="Q109" s="32" t="str">
        <f>IFERROR(__xludf.DUMMYFUNCTION("SPARKLINE((K109-MIN($J109:$N109))/SUMPRODUCT($J109:$N109-MIN($J109:$N109)), {""charttype"",""bar""; ""max"",1; ""color1"",""#4285F4""})"),"#DIV/0!")</f>
        <v>#DIV/0!</v>
      </c>
      <c r="R109" s="32" t="str">
        <f>IFERROR(__xludf.DUMMYFUNCTION("SPARKLINE((L109-MIN($J109:$N109))/SUMPRODUCT($J109:$N109-MIN($J109:$N109)), {""charttype"",""bar""; ""max"",1; ""color1"",""#4285F4""})"),"#DIV/0!")</f>
        <v>#DIV/0!</v>
      </c>
      <c r="S109" s="32" t="str">
        <f>IFERROR(__xludf.DUMMYFUNCTION("SPARKLINE((M109-MIN($J109:$N109))/SUMPRODUCT($J109:$N109-MIN($J109:$N109)), {""charttype"",""bar""; ""max"",1; ""color1"",""#4285F4""})"),"#DIV/0!")</f>
        <v>#DIV/0!</v>
      </c>
      <c r="T109" s="32" t="str">
        <f>IFERROR(__xludf.DUMMYFUNCTION("SPARKLINE((N109-MIN($J109:$N109))/SUMPRODUCT($J109:$N109-MIN($J109:$N109)), {""charttype"",""bar""; ""max"",1; ""color1"",""#4285F4""})"),"#DIV/0!")</f>
        <v>#DIV/0!</v>
      </c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B110" s="1"/>
      <c r="C110" s="2"/>
      <c r="D110" s="2"/>
      <c r="E110" s="2"/>
      <c r="F110" s="2"/>
      <c r="G110" s="2"/>
      <c r="H110" s="2"/>
      <c r="I110" s="2"/>
      <c r="J110" s="13"/>
      <c r="K110" s="14"/>
      <c r="L110" s="14"/>
      <c r="M110" s="14"/>
      <c r="N110" s="15"/>
      <c r="O110" s="3"/>
      <c r="P110" s="32" t="str">
        <f>IFERROR(__xludf.DUMMYFUNCTION("SPARKLINE((J110-MIN($J110:$N110))/SUMPRODUCT($J110:$N110-MIN($J110:$N110)), {""charttype"",""bar""; ""max"",1; ""color1"",""#4285F4""})"),"#DIV/0!")</f>
        <v>#DIV/0!</v>
      </c>
      <c r="Q110" s="32" t="str">
        <f>IFERROR(__xludf.DUMMYFUNCTION("SPARKLINE((K110-MIN($J110:$N110))/SUMPRODUCT($J110:$N110-MIN($J110:$N110)), {""charttype"",""bar""; ""max"",1; ""color1"",""#4285F4""})"),"#DIV/0!")</f>
        <v>#DIV/0!</v>
      </c>
      <c r="R110" s="32" t="str">
        <f>IFERROR(__xludf.DUMMYFUNCTION("SPARKLINE((L110-MIN($J110:$N110))/SUMPRODUCT($J110:$N110-MIN($J110:$N110)), {""charttype"",""bar""; ""max"",1; ""color1"",""#4285F4""})"),"#DIV/0!")</f>
        <v>#DIV/0!</v>
      </c>
      <c r="S110" s="32" t="str">
        <f>IFERROR(__xludf.DUMMYFUNCTION("SPARKLINE((M110-MIN($J110:$N110))/SUMPRODUCT($J110:$N110-MIN($J110:$N110)), {""charttype"",""bar""; ""max"",1; ""color1"",""#4285F4""})"),"#DIV/0!")</f>
        <v>#DIV/0!</v>
      </c>
      <c r="T110" s="32" t="str">
        <f>IFERROR(__xludf.DUMMYFUNCTION("SPARKLINE((N110-MIN($J110:$N110))/SUMPRODUCT($J110:$N110-MIN($J110:$N110)), {""charttype"",""bar""; ""max"",1; ""color1"",""#4285F4""})"),"#DIV/0!")</f>
        <v>#DIV/0!</v>
      </c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1" t="s">
        <v>4</v>
      </c>
      <c r="M111" s="2"/>
      <c r="N111" s="2"/>
      <c r="O111" s="3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1" t="s">
        <v>4</v>
      </c>
      <c r="M112" s="2"/>
      <c r="N112" s="2"/>
      <c r="O112" s="3"/>
      <c r="W112" s="2"/>
      <c r="X112" s="2"/>
      <c r="Y112" s="2"/>
      <c r="Z112" s="2"/>
      <c r="AA112" s="2"/>
      <c r="AB112" s="2"/>
      <c r="AC112" s="2"/>
      <c r="AD112" s="2"/>
      <c r="AE112" s="2"/>
    </row>
    <row r="113" ht="15.75" customHeight="1">
      <c r="B113" s="1"/>
      <c r="C113" s="2"/>
      <c r="D113" s="2"/>
      <c r="E113" s="2"/>
      <c r="F113" s="2"/>
      <c r="G113" s="2"/>
      <c r="H113" s="2"/>
      <c r="I113" s="34" t="s">
        <v>24</v>
      </c>
      <c r="J113" s="35" t="s">
        <v>25</v>
      </c>
      <c r="K113" s="36"/>
      <c r="L113" s="36"/>
      <c r="M113" s="36"/>
      <c r="N113" s="37"/>
      <c r="O113" s="3"/>
      <c r="P113" s="32" t="str">
        <f>IFERROR(__xludf.DUMMYFUNCTION("SPARKLINE((J113-MIN($J113:$N113))/SUMPRODUCT($J113:$N113-MIN($J113:$N113)), {""charttype"",""bar""; ""max"",1; ""color1"",""#4285F4""})"),"#VALUE!")</f>
        <v>#VALUE!</v>
      </c>
      <c r="Q113" s="32" t="str">
        <f>IFERROR(__xludf.DUMMYFUNCTION("SPARKLINE((K113-MIN($J113:$N113))/SUMPRODUCT($J113:$N113-MIN($J113:$N113)), {""charttype"",""bar""; ""max"",1; ""color1"",""#4285F4""})"),"#VALUE!")</f>
        <v>#VALUE!</v>
      </c>
      <c r="R113" s="32" t="str">
        <f>IFERROR(__xludf.DUMMYFUNCTION("SPARKLINE((L113-MIN($J113:$N113))/SUMPRODUCT($J113:$N113-MIN($J113:$N113)), {""charttype"",""bar""; ""max"",1; ""color1"",""#4285F4""})"),"#VALUE!")</f>
        <v>#VALUE!</v>
      </c>
      <c r="S113" s="32" t="str">
        <f>IFERROR(__xludf.DUMMYFUNCTION("SPARKLINE((M113-MIN($J113:$N113))/SUMPRODUCT($J113:$N113-MIN($J113:$N113)), {""charttype"",""bar""; ""max"",1; ""color1"",""#4285F4""})"),"#VALUE!")</f>
        <v>#VALUE!</v>
      </c>
      <c r="T113" s="32" t="str">
        <f>IFERROR(__xludf.DUMMYFUNCTION("SPARKLINE((N113-MIN($J113:$N113))/SUMPRODUCT($J113:$N113-MIN($J113:$N113)), {""charttype"",""bar""; ""max"",1; ""color1"",""#4285F4""})"),"#VALUE!")</f>
        <v>#VALUE!</v>
      </c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B114" s="1"/>
      <c r="C114" s="2"/>
      <c r="D114" s="2"/>
      <c r="E114" s="2"/>
      <c r="F114" s="2"/>
      <c r="G114" s="2"/>
      <c r="H114" s="2"/>
      <c r="I114" s="34" t="s">
        <v>26</v>
      </c>
      <c r="J114" s="38"/>
      <c r="K114" s="39"/>
      <c r="L114" s="39"/>
      <c r="M114" s="39"/>
      <c r="N114" s="40"/>
      <c r="O114" s="3"/>
      <c r="P114" s="32" t="str">
        <f>IFERROR(__xludf.DUMMYFUNCTION("SPARKLINE((J114-MIN($J114:$N114))/SUMPRODUCT($J114:$N114-MIN($J114:$N114)), {""charttype"",""bar""; ""max"",1; ""color1"",""#4285F4""})"),"#DIV/0!")</f>
        <v>#DIV/0!</v>
      </c>
      <c r="Q114" s="32" t="str">
        <f>IFERROR(__xludf.DUMMYFUNCTION("SPARKLINE((K114-MIN($J114:$N114))/SUMPRODUCT($J114:$N114-MIN($J114:$N114)), {""charttype"",""bar""; ""max"",1; ""color1"",""#4285F4""})"),"#DIV/0!")</f>
        <v>#DIV/0!</v>
      </c>
      <c r="R114" s="32" t="str">
        <f>IFERROR(__xludf.DUMMYFUNCTION("SPARKLINE((L114-MIN($J114:$N114))/SUMPRODUCT($J114:$N114-MIN($J114:$N114)), {""charttype"",""bar""; ""max"",1; ""color1"",""#4285F4""})"),"#DIV/0!")</f>
        <v>#DIV/0!</v>
      </c>
      <c r="S114" s="32" t="str">
        <f>IFERROR(__xludf.DUMMYFUNCTION("SPARKLINE((M114-MIN($J114:$N114))/SUMPRODUCT($J114:$N114-MIN($J114:$N114)), {""charttype"",""bar""; ""max"",1; ""color1"",""#4285F4""})"),"#DIV/0!")</f>
        <v>#DIV/0!</v>
      </c>
      <c r="T114" s="32" t="str">
        <f>IFERROR(__xludf.DUMMYFUNCTION("SPARKLINE((N114-MIN($J114:$N114))/SUMPRODUCT($J114:$N114-MIN($J114:$N114)), {""charttype"",""bar""; ""max"",1; ""color1"",""#4285F4""})"),"#DIV/0!")</f>
        <v>#DIV/0!</v>
      </c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B115" s="1"/>
      <c r="C115" s="2"/>
      <c r="D115" s="2"/>
      <c r="E115" s="2"/>
      <c r="F115" s="2"/>
      <c r="G115" s="2"/>
      <c r="H115" s="2"/>
      <c r="I115" s="41"/>
      <c r="J115" s="38"/>
      <c r="K115" s="39"/>
      <c r="L115" s="39"/>
      <c r="M115" s="39"/>
      <c r="N115" s="40"/>
      <c r="O115" s="3"/>
      <c r="P115" s="32" t="str">
        <f>IFERROR(__xludf.DUMMYFUNCTION("SPARKLINE((J115-MIN($J115:$N115))/SUMPRODUCT($J115:$N115-MIN($J115:$N115)), {""charttype"",""bar""; ""max"",1; ""color1"",""#4285F4""})"),"#DIV/0!")</f>
        <v>#DIV/0!</v>
      </c>
      <c r="Q115" s="32" t="str">
        <f>IFERROR(__xludf.DUMMYFUNCTION("SPARKLINE((K115-MIN($J115:$N115))/SUMPRODUCT($J115:$N115-MIN($J115:$N115)), {""charttype"",""bar""; ""max"",1; ""color1"",""#4285F4""})"),"#DIV/0!")</f>
        <v>#DIV/0!</v>
      </c>
      <c r="R115" s="32" t="str">
        <f>IFERROR(__xludf.DUMMYFUNCTION("SPARKLINE((L115-MIN($J115:$N115))/SUMPRODUCT($J115:$N115-MIN($J115:$N115)), {""charttype"",""bar""; ""max"",1; ""color1"",""#4285F4""})"),"#DIV/0!")</f>
        <v>#DIV/0!</v>
      </c>
      <c r="S115" s="32" t="str">
        <f>IFERROR(__xludf.DUMMYFUNCTION("SPARKLINE((M115-MIN($J115:$N115))/SUMPRODUCT($J115:$N115-MIN($J115:$N115)), {""charttype"",""bar""; ""max"",1; ""color1"",""#4285F4""})"),"#DIV/0!")</f>
        <v>#DIV/0!</v>
      </c>
      <c r="T115" s="32" t="str">
        <f>IFERROR(__xludf.DUMMYFUNCTION("SPARKLINE((N115-MIN($J115:$N115))/SUMPRODUCT($J115:$N115-MIN($J115:$N115)), {""charttype"",""bar""; ""max"",1; ""color1"",""#4285F4""})"),"#DIV/0!")</f>
        <v>#DIV/0!</v>
      </c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B116" s="1"/>
      <c r="C116" s="2"/>
      <c r="D116" s="2"/>
      <c r="E116" s="2"/>
      <c r="F116" s="2"/>
      <c r="G116" s="2"/>
      <c r="H116" s="2"/>
      <c r="I116" s="42"/>
      <c r="J116" s="38"/>
      <c r="K116" s="39"/>
      <c r="L116" s="39"/>
      <c r="M116" s="39"/>
      <c r="N116" s="40"/>
      <c r="O116" s="3"/>
      <c r="P116" s="32" t="str">
        <f>IFERROR(__xludf.DUMMYFUNCTION("SPARKLINE((J116-MIN($J116:$N116))/SUMPRODUCT($J116:$N116-MIN($J116:$N116)), {""charttype"",""bar""; ""max"",1; ""color1"",""#4285F4""})"),"#DIV/0!")</f>
        <v>#DIV/0!</v>
      </c>
      <c r="Q116" s="32" t="str">
        <f>IFERROR(__xludf.DUMMYFUNCTION("SPARKLINE((K116-MIN($J116:$N116))/SUMPRODUCT($J116:$N116-MIN($J116:$N116)), {""charttype"",""bar""; ""max"",1; ""color1"",""#4285F4""})"),"#DIV/0!")</f>
        <v>#DIV/0!</v>
      </c>
      <c r="R116" s="32" t="str">
        <f>IFERROR(__xludf.DUMMYFUNCTION("SPARKLINE((L116-MIN($J116:$N116))/SUMPRODUCT($J116:$N116-MIN($J116:$N116)), {""charttype"",""bar""; ""max"",1; ""color1"",""#4285F4""})"),"#DIV/0!")</f>
        <v>#DIV/0!</v>
      </c>
      <c r="S116" s="32" t="str">
        <f>IFERROR(__xludf.DUMMYFUNCTION("SPARKLINE((M116-MIN($J116:$N116))/SUMPRODUCT($J116:$N116-MIN($J116:$N116)), {""charttype"",""bar""; ""max"",1; ""color1"",""#4285F4""})"),"#DIV/0!")</f>
        <v>#DIV/0!</v>
      </c>
      <c r="T116" s="32" t="str">
        <f>IFERROR(__xludf.DUMMYFUNCTION("SPARKLINE((N116-MIN($J116:$N116))/SUMPRODUCT($J116:$N116-MIN($J116:$N116)), {""charttype"",""bar""; ""max"",1; ""color1"",""#4285F4""})"),"#DIV/0!")</f>
        <v>#DIV/0!</v>
      </c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B117" s="1"/>
      <c r="C117" s="2"/>
      <c r="D117" s="2"/>
      <c r="E117" s="2"/>
      <c r="F117" s="2"/>
      <c r="G117" s="2"/>
      <c r="H117" s="2"/>
      <c r="I117" s="41"/>
      <c r="J117" s="43"/>
      <c r="K117" s="44"/>
      <c r="L117" s="44"/>
      <c r="M117" s="44"/>
      <c r="N117" s="45"/>
      <c r="O117" s="3"/>
      <c r="P117" s="32" t="str">
        <f>IFERROR(__xludf.DUMMYFUNCTION("SPARKLINE((J117-MIN($J117:$N117))/SUMPRODUCT($J117:$N117-MIN($J117:$N117)), {""charttype"",""bar""; ""max"",1; ""color1"",""#4285F4""})"),"#DIV/0!")</f>
        <v>#DIV/0!</v>
      </c>
      <c r="Q117" s="32" t="str">
        <f>IFERROR(__xludf.DUMMYFUNCTION("SPARKLINE((K117-MIN($J117:$N117))/SUMPRODUCT($J117:$N117-MIN($J117:$N117)), {""charttype"",""bar""; ""max"",1; ""color1"",""#4285F4""})"),"#DIV/0!")</f>
        <v>#DIV/0!</v>
      </c>
      <c r="R117" s="32" t="str">
        <f>IFERROR(__xludf.DUMMYFUNCTION("SPARKLINE((L117-MIN($J117:$N117))/SUMPRODUCT($J117:$N117-MIN($J117:$N117)), {""charttype"",""bar""; ""max"",1; ""color1"",""#4285F4""})"),"#DIV/0!")</f>
        <v>#DIV/0!</v>
      </c>
      <c r="S117" s="32" t="str">
        <f>IFERROR(__xludf.DUMMYFUNCTION("SPARKLINE((M117-MIN($J117:$N117))/SUMPRODUCT($J117:$N117-MIN($J117:$N117)), {""charttype"",""bar""; ""max"",1; ""color1"",""#4285F4""})"),"#DIV/0!")</f>
        <v>#DIV/0!</v>
      </c>
      <c r="T117" s="32" t="str">
        <f>IFERROR(__xludf.DUMMYFUNCTION("SPARKLINE((N117-MIN($J117:$N117))/SUMPRODUCT($J117:$N117-MIN($J117:$N117)), {""charttype"",""bar""; ""max"",1; ""color1"",""#4285F4""})"),"#DIV/0!")</f>
        <v>#DIV/0!</v>
      </c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47" t="s">
        <v>27</v>
      </c>
      <c r="AA119" s="48"/>
      <c r="AB119" s="48"/>
      <c r="AC119" s="48"/>
      <c r="AD119" s="48"/>
      <c r="AE119" s="48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B125" s="1"/>
      <c r="C125" s="2"/>
      <c r="D125" s="2"/>
      <c r="E125" s="2"/>
      <c r="F125" s="2"/>
      <c r="G125" s="2"/>
      <c r="H125" s="2"/>
      <c r="I125" s="6" t="s">
        <v>22</v>
      </c>
      <c r="J125" s="7" t="str">
        <f t="array" ref="J125:N129">J106:N110</f>
        <v>J97/$G$107</v>
      </c>
      <c r="K125" s="8"/>
      <c r="L125" s="8"/>
      <c r="M125" s="8"/>
      <c r="N125" s="9"/>
      <c r="O125" s="3"/>
      <c r="P125" s="32" t="str">
        <f>IFERROR(__xludf.DUMMYFUNCTION("SPARKLINE((J125-MIN($J125:$N125))/SUMPRODUCT($J125:$N125-MIN($J125:$N125)), {""charttype"",""bar""; ""max"",1; ""color1"",""#4285F4""})"),"#VALUE!")</f>
        <v>#VALUE!</v>
      </c>
      <c r="Q125" s="32" t="str">
        <f>IFERROR(__xludf.DUMMYFUNCTION("SPARKLINE((K125-MIN($J125:$N125))/SUMPRODUCT($J125:$N125-MIN($J125:$N125)), {""charttype"",""bar""; ""max"",1; ""color1"",""#4285F4""})"),"#VALUE!")</f>
        <v>#VALUE!</v>
      </c>
      <c r="R125" s="32" t="str">
        <f>IFERROR(__xludf.DUMMYFUNCTION("SPARKLINE((L125-MIN($J125:$N125))/SUMPRODUCT($J125:$N125-MIN($J125:$N125)), {""charttype"",""bar""; ""max"",1; ""color1"",""#4285F4""})"),"#VALUE!")</f>
        <v>#VALUE!</v>
      </c>
      <c r="S125" s="32" t="str">
        <f>IFERROR(__xludf.DUMMYFUNCTION("SPARKLINE((M125-MIN($J125:$N125))/SUMPRODUCT($J125:$N125-MIN($J125:$N125)), {""charttype"",""bar""; ""max"",1; ""color1"",""#4285F4""})"),"#VALUE!")</f>
        <v>#VALUE!</v>
      </c>
      <c r="T125" s="32" t="str">
        <f>IFERROR(__xludf.DUMMYFUNCTION("SPARKLINE((N125-MIN($J125:$N125))/SUMPRODUCT($J125:$N125-MIN($J125:$N125)), {""charttype"",""bar""; ""max"",1; ""color1"",""#4285F4""})"),"#VALUE!")</f>
        <v>#VALUE!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B126" s="1"/>
      <c r="C126" s="2"/>
      <c r="D126" s="2"/>
      <c r="E126" s="2"/>
      <c r="F126" s="2"/>
      <c r="G126" s="2"/>
      <c r="H126" s="2"/>
      <c r="I126" s="6"/>
      <c r="J126" s="11"/>
      <c r="K126" s="10"/>
      <c r="L126" s="10"/>
      <c r="M126" s="10"/>
      <c r="N126" s="12"/>
      <c r="O126" s="3"/>
      <c r="P126" s="32" t="str">
        <f>IFERROR(__xludf.DUMMYFUNCTION("SPARKLINE((J126-MIN($J126:$N126))/SUMPRODUCT($J126:$N126-MIN($J126:$N126)), {""charttype"",""bar""; ""max"",1; ""color1"",""#4285F4""})"),"#DIV/0!")</f>
        <v>#DIV/0!</v>
      </c>
      <c r="Q126" s="32" t="str">
        <f>IFERROR(__xludf.DUMMYFUNCTION("SPARKLINE((K126-MIN($J126:$N126))/SUMPRODUCT($J126:$N126-MIN($J126:$N126)), {""charttype"",""bar""; ""max"",1; ""color1"",""#4285F4""})"),"#DIV/0!")</f>
        <v>#DIV/0!</v>
      </c>
      <c r="R126" s="32" t="str">
        <f>IFERROR(__xludf.DUMMYFUNCTION("SPARKLINE((L126-MIN($J126:$N126))/SUMPRODUCT($J126:$N126-MIN($J126:$N126)), {""charttype"",""bar""; ""max"",1; ""color1"",""#4285F4""})"),"#DIV/0!")</f>
        <v>#DIV/0!</v>
      </c>
      <c r="S126" s="32" t="str">
        <f>IFERROR(__xludf.DUMMYFUNCTION("SPARKLINE((M126-MIN($J126:$N126))/SUMPRODUCT($J126:$N126-MIN($J126:$N126)), {""charttype"",""bar""; ""max"",1; ""color1"",""#4285F4""})"),"#DIV/0!")</f>
        <v>#DIV/0!</v>
      </c>
      <c r="T126" s="32" t="str">
        <f>IFERROR(__xludf.DUMMYFUNCTION("SPARKLINE((N126-MIN($J126:$N126))/SUMPRODUCT($J126:$N126-MIN($J126:$N126)), {""charttype"",""bar""; ""max"",1; ""color1"",""#4285F4""})"),"#DIV/0!")</f>
        <v>#DIV/0!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B127" s="1"/>
      <c r="C127" s="2"/>
      <c r="D127" s="2"/>
      <c r="E127" s="2"/>
      <c r="F127" s="2"/>
      <c r="G127" s="2"/>
      <c r="H127" s="2"/>
      <c r="I127" s="2"/>
      <c r="J127" s="11"/>
      <c r="K127" s="10"/>
      <c r="L127" s="10"/>
      <c r="M127" s="10"/>
      <c r="N127" s="12"/>
      <c r="O127" s="3"/>
      <c r="P127" s="32" t="str">
        <f>IFERROR(__xludf.DUMMYFUNCTION("SPARKLINE((J127-MIN($J127:$N127))/SUMPRODUCT($J127:$N127-MIN($J127:$N127)), {""charttype"",""bar""; ""max"",1; ""color1"",""#4285F4""})"),"#DIV/0!")</f>
        <v>#DIV/0!</v>
      </c>
      <c r="Q127" s="32" t="str">
        <f>IFERROR(__xludf.DUMMYFUNCTION("SPARKLINE((K127-MIN($J127:$N127))/SUMPRODUCT($J127:$N127-MIN($J127:$N127)), {""charttype"",""bar""; ""max"",1; ""color1"",""#4285F4""})"),"#DIV/0!")</f>
        <v>#DIV/0!</v>
      </c>
      <c r="R127" s="32" t="str">
        <f>IFERROR(__xludf.DUMMYFUNCTION("SPARKLINE((L127-MIN($J127:$N127))/SUMPRODUCT($J127:$N127-MIN($J127:$N127)), {""charttype"",""bar""; ""max"",1; ""color1"",""#4285F4""})"),"#DIV/0!")</f>
        <v>#DIV/0!</v>
      </c>
      <c r="S127" s="32" t="str">
        <f>IFERROR(__xludf.DUMMYFUNCTION("SPARKLINE((M127-MIN($J127:$N127))/SUMPRODUCT($J127:$N127-MIN($J127:$N127)), {""charttype"",""bar""; ""max"",1; ""color1"",""#4285F4""})"),"#DIV/0!")</f>
        <v>#DIV/0!</v>
      </c>
      <c r="T127" s="32" t="str">
        <f>IFERROR(__xludf.DUMMYFUNCTION("SPARKLINE((N127-MIN($J127:$N127))/SUMPRODUCT($J127:$N127-MIN($J127:$N127)), {""charttype"",""bar""; ""max"",1; ""color1"",""#4285F4""})"),"#DIV/0!")</f>
        <v>#DIV/0!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B128" s="1"/>
      <c r="C128" s="2"/>
      <c r="D128" s="2"/>
      <c r="E128" s="2"/>
      <c r="F128" s="2"/>
      <c r="G128" s="2"/>
      <c r="H128" s="2"/>
      <c r="I128" s="17"/>
      <c r="J128" s="11"/>
      <c r="K128" s="10"/>
      <c r="L128" s="10"/>
      <c r="M128" s="10"/>
      <c r="N128" s="12"/>
      <c r="O128" s="3"/>
      <c r="P128" s="32" t="str">
        <f>IFERROR(__xludf.DUMMYFUNCTION("SPARKLINE((J128-MIN($J128:$N128))/SUMPRODUCT($J128:$N128-MIN($J128:$N128)), {""charttype"",""bar""; ""max"",1; ""color1"",""#4285F4""})"),"#DIV/0!")</f>
        <v>#DIV/0!</v>
      </c>
      <c r="Q128" s="32" t="str">
        <f>IFERROR(__xludf.DUMMYFUNCTION("SPARKLINE((K128-MIN($J128:$N128))/SUMPRODUCT($J128:$N128-MIN($J128:$N128)), {""charttype"",""bar""; ""max"",1; ""color1"",""#4285F4""})"),"#DIV/0!")</f>
        <v>#DIV/0!</v>
      </c>
      <c r="R128" s="32" t="str">
        <f>IFERROR(__xludf.DUMMYFUNCTION("SPARKLINE((L128-MIN($J128:$N128))/SUMPRODUCT($J128:$N128-MIN($J128:$N128)), {""charttype"",""bar""; ""max"",1; ""color1"",""#4285F4""})"),"#DIV/0!")</f>
        <v>#DIV/0!</v>
      </c>
      <c r="S128" s="32" t="str">
        <f>IFERROR(__xludf.DUMMYFUNCTION("SPARKLINE((M128-MIN($J128:$N128))/SUMPRODUCT($J128:$N128-MIN($J128:$N128)), {""charttype"",""bar""; ""max"",1; ""color1"",""#4285F4""})"),"#DIV/0!")</f>
        <v>#DIV/0!</v>
      </c>
      <c r="T128" s="32" t="str">
        <f>IFERROR(__xludf.DUMMYFUNCTION("SPARKLINE((N128-MIN($J128:$N128))/SUMPRODUCT($J128:$N128-MIN($J128:$N128)), {""charttype"",""bar""; ""max"",1; ""color1"",""#4285F4""})"),"#DIV/0!")</f>
        <v>#DIV/0!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B129" s="1"/>
      <c r="C129" s="2"/>
      <c r="D129" s="2"/>
      <c r="E129" s="2"/>
      <c r="F129" s="2"/>
      <c r="G129" s="2"/>
      <c r="H129" s="2"/>
      <c r="I129" s="2"/>
      <c r="J129" s="13"/>
      <c r="K129" s="14"/>
      <c r="L129" s="14"/>
      <c r="M129" s="14"/>
      <c r="N129" s="15"/>
      <c r="O129" s="3"/>
      <c r="P129" s="32" t="str">
        <f>IFERROR(__xludf.DUMMYFUNCTION("SPARKLINE((J129-MIN($J129:$N129))/SUMPRODUCT($J129:$N129-MIN($J129:$N129)), {""charttype"",""bar""; ""max"",1; ""color1"",""#4285F4""})"),"#DIV/0!")</f>
        <v>#DIV/0!</v>
      </c>
      <c r="Q129" s="32" t="str">
        <f>IFERROR(__xludf.DUMMYFUNCTION("SPARKLINE((K129-MIN($J129:$N129))/SUMPRODUCT($J129:$N129-MIN($J129:$N129)), {""charttype"",""bar""; ""max"",1; ""color1"",""#4285F4""})"),"#DIV/0!")</f>
        <v>#DIV/0!</v>
      </c>
      <c r="R129" s="32" t="str">
        <f>IFERROR(__xludf.DUMMYFUNCTION("SPARKLINE((L129-MIN($J129:$N129))/SUMPRODUCT($J129:$N129-MIN($J129:$N129)), {""charttype"",""bar""; ""max"",1; ""color1"",""#4285F4""})"),"#DIV/0!")</f>
        <v>#DIV/0!</v>
      </c>
      <c r="S129" s="32" t="str">
        <f>IFERROR(__xludf.DUMMYFUNCTION("SPARKLINE((M129-MIN($J129:$N129))/SUMPRODUCT($J129:$N129-MIN($J129:$N129)), {""charttype"",""bar""; ""max"",1; ""color1"",""#4285F4""})"),"#DIV/0!")</f>
        <v>#DIV/0!</v>
      </c>
      <c r="T129" s="32" t="str">
        <f>IFERROR(__xludf.DUMMYFUNCTION("SPARKLINE((N129-MIN($J129:$N129))/SUMPRODUCT($J129:$N129-MIN($J129:$N129)), {""charttype"",""bar""; ""max"",1; ""color1"",""#4285F4""})"),"#DIV/0!")</f>
        <v>#DIV/0!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1" t="s">
        <v>4</v>
      </c>
      <c r="M130" s="2"/>
      <c r="N130" s="2"/>
      <c r="O130" s="3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1" t="s">
        <v>4</v>
      </c>
      <c r="M131" s="2"/>
      <c r="N131" s="2"/>
      <c r="O131" s="3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B132" s="6" t="s">
        <v>28</v>
      </c>
      <c r="C132" s="49">
        <v>0.0</v>
      </c>
      <c r="D132" s="50">
        <v>-99.0</v>
      </c>
      <c r="E132" s="50">
        <v>-99.0</v>
      </c>
      <c r="F132" s="50">
        <v>-99.0</v>
      </c>
      <c r="G132" s="51">
        <v>-99.0</v>
      </c>
      <c r="H132" s="2"/>
      <c r="I132" s="6" t="s">
        <v>29</v>
      </c>
      <c r="J132" s="20" t="s">
        <v>30</v>
      </c>
      <c r="K132" s="52"/>
      <c r="L132" s="53"/>
      <c r="M132" s="52"/>
      <c r="N132" s="54"/>
      <c r="O132" s="3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B133" s="6" t="s">
        <v>31</v>
      </c>
      <c r="C133" s="55">
        <v>0.0</v>
      </c>
      <c r="D133" s="56">
        <v>0.0</v>
      </c>
      <c r="E133" s="57">
        <v>-99.0</v>
      </c>
      <c r="F133" s="57">
        <v>-99.0</v>
      </c>
      <c r="G133" s="58">
        <v>-99.0</v>
      </c>
      <c r="H133" s="2"/>
      <c r="I133" s="2"/>
      <c r="J133" s="11"/>
      <c r="K133" s="10"/>
      <c r="L133" s="59"/>
      <c r="M133" s="60"/>
      <c r="N133" s="61"/>
      <c r="O133" s="3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B134" s="1"/>
      <c r="C134" s="55">
        <v>0.0</v>
      </c>
      <c r="D134" s="56">
        <v>0.0</v>
      </c>
      <c r="E134" s="56">
        <v>0.0</v>
      </c>
      <c r="F134" s="57">
        <v>-99.0</v>
      </c>
      <c r="G134" s="58">
        <v>-99.0</v>
      </c>
      <c r="H134" s="17" t="s">
        <v>8</v>
      </c>
      <c r="I134" s="17" t="s">
        <v>8</v>
      </c>
      <c r="J134" s="11"/>
      <c r="K134" s="10"/>
      <c r="L134" s="17"/>
      <c r="M134" s="60"/>
      <c r="N134" s="61"/>
      <c r="O134" s="3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B135" s="1"/>
      <c r="C135" s="55">
        <v>0.0</v>
      </c>
      <c r="D135" s="56">
        <v>0.0</v>
      </c>
      <c r="E135" s="56">
        <v>0.0</v>
      </c>
      <c r="F135" s="56">
        <v>0.0</v>
      </c>
      <c r="G135" s="58">
        <v>-99.0</v>
      </c>
      <c r="H135" s="2"/>
      <c r="I135" s="2"/>
      <c r="J135" s="11"/>
      <c r="K135" s="10"/>
      <c r="L135" s="17"/>
      <c r="M135" s="10"/>
      <c r="N135" s="61"/>
      <c r="O135" s="3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B136" s="1"/>
      <c r="C136" s="62">
        <v>0.0</v>
      </c>
      <c r="D136" s="63">
        <v>0.0</v>
      </c>
      <c r="E136" s="63">
        <v>0.0</v>
      </c>
      <c r="F136" s="63">
        <v>0.0</v>
      </c>
      <c r="G136" s="64">
        <v>0.0</v>
      </c>
      <c r="H136" s="2"/>
      <c r="I136" s="2"/>
      <c r="J136" s="13"/>
      <c r="K136" s="14"/>
      <c r="L136" s="65"/>
      <c r="M136" s="14"/>
      <c r="N136" s="15"/>
      <c r="O136" s="3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1" t="s">
        <v>4</v>
      </c>
      <c r="M137" s="2"/>
      <c r="N137" s="2"/>
      <c r="O137" s="3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1" t="s">
        <v>4</v>
      </c>
      <c r="M138" s="2"/>
      <c r="N138" s="2"/>
      <c r="O138" s="3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B139" s="1"/>
      <c r="C139" s="2"/>
      <c r="D139" s="2"/>
      <c r="E139" s="2"/>
      <c r="F139" s="2"/>
      <c r="G139" s="2"/>
      <c r="H139" s="2"/>
      <c r="I139" s="34" t="s">
        <v>24</v>
      </c>
      <c r="J139" s="46" t="str">
        <f t="shared" ref="J139:N139" si="21">EXP(J132)/SUMPRODUCT(EXP($J132:$N132))
</f>
        <v>#VALUE!</v>
      </c>
      <c r="K139" s="36" t="str">
        <f t="shared" si="21"/>
        <v>#VALUE!</v>
      </c>
      <c r="L139" s="36" t="str">
        <f t="shared" si="21"/>
        <v>#VALUE!</v>
      </c>
      <c r="M139" s="36" t="str">
        <f t="shared" si="21"/>
        <v>#VALUE!</v>
      </c>
      <c r="N139" s="37" t="str">
        <f t="shared" si="21"/>
        <v>#VALUE!</v>
      </c>
      <c r="O139" s="3"/>
      <c r="P139" s="32" t="str">
        <f>IFERROR(__xludf.DUMMYFUNCTION("SPARKLINE((J139-MIN($J139:$N139))/SUMPRODUCT($J139:$N139-MIN($J139:$N139)), {""charttype"",""bar""; ""max"",1; ""color1"",""#4285F4""})"),"#VALUE!")</f>
        <v>#VALUE!</v>
      </c>
      <c r="Q139" s="32" t="str">
        <f>IFERROR(__xludf.DUMMYFUNCTION("SPARKLINE((K139-MIN($J139:$N139))/SUMPRODUCT($J139:$N139-MIN($J139:$N139)), {""charttype"",""bar""; ""max"",1; ""color1"",""#4285F4""})"),"#VALUE!")</f>
        <v>#VALUE!</v>
      </c>
      <c r="R139" s="32" t="str">
        <f>IFERROR(__xludf.DUMMYFUNCTION("SPARKLINE((L139-MIN($J139:$N139))/SUMPRODUCT($J139:$N139-MIN($J139:$N139)), {""charttype"",""bar""; ""max"",1; ""color1"",""#4285F4""})"),"#VALUE!")</f>
        <v>#VALUE!</v>
      </c>
      <c r="S139" s="32" t="str">
        <f>IFERROR(__xludf.DUMMYFUNCTION("SPARKLINE((M139-MIN($J139:$N139))/SUMPRODUCT($J139:$N139-MIN($J139:$N139)), {""charttype"",""bar""; ""max"",1; ""color1"",""#4285F4""})"),"#VALUE!")</f>
        <v>#VALUE!</v>
      </c>
      <c r="T139" s="32" t="str">
        <f>IFERROR(__xludf.DUMMYFUNCTION("SPARKLINE((N139-MIN($J139:$N139))/SUMPRODUCT($J139:$N139-MIN($J139:$N139)), {""charttype"",""bar""; ""max"",1; ""color1"",""#4285F4""})"),"#VALUE!")</f>
        <v>#VALUE!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B140" s="1"/>
      <c r="C140" s="2"/>
      <c r="D140" s="2"/>
      <c r="E140" s="2"/>
      <c r="F140" s="2"/>
      <c r="G140" s="2"/>
      <c r="H140" s="2"/>
      <c r="I140" s="34" t="s">
        <v>26</v>
      </c>
      <c r="J140" s="38">
        <f t="shared" ref="J140:N140" si="22">EXP(J133)/SUMPRODUCT(EXP($J133:$N133))
</f>
        <v>0.2</v>
      </c>
      <c r="K140" s="39">
        <f t="shared" si="22"/>
        <v>0.2</v>
      </c>
      <c r="L140" s="39">
        <f t="shared" si="22"/>
        <v>0.2</v>
      </c>
      <c r="M140" s="39">
        <f t="shared" si="22"/>
        <v>0.2</v>
      </c>
      <c r="N140" s="40">
        <f t="shared" si="22"/>
        <v>0.2</v>
      </c>
      <c r="O140" s="3"/>
      <c r="P140" s="32" t="str">
        <f>IFERROR(__xludf.DUMMYFUNCTION("SPARKLINE((J140-MIN($J140:$N140))/SUMPRODUCT($J140:$N140-MIN($J140:$N140)), {""charttype"",""bar""; ""max"",1; ""color1"",""#4285F4""})"),"#DIV/0!")</f>
        <v>#DIV/0!</v>
      </c>
      <c r="Q140" s="32" t="str">
        <f>IFERROR(__xludf.DUMMYFUNCTION("SPARKLINE((K140-MIN($J140:$N140))/SUMPRODUCT($J140:$N140-MIN($J140:$N140)), {""charttype"",""bar""; ""max"",1; ""color1"",""#4285F4""})"),"#DIV/0!")</f>
        <v>#DIV/0!</v>
      </c>
      <c r="R140" s="32" t="str">
        <f>IFERROR(__xludf.DUMMYFUNCTION("SPARKLINE((L140-MIN($J140:$N140))/SUMPRODUCT($J140:$N140-MIN($J140:$N140)), {""charttype"",""bar""; ""max"",1; ""color1"",""#4285F4""})"),"#DIV/0!")</f>
        <v>#DIV/0!</v>
      </c>
      <c r="S140" s="32" t="str">
        <f>IFERROR(__xludf.DUMMYFUNCTION("SPARKLINE((M140-MIN($J140:$N140))/SUMPRODUCT($J140:$N140-MIN($J140:$N140)), {""charttype"",""bar""; ""max"",1; ""color1"",""#4285F4""})"),"#DIV/0!")</f>
        <v>#DIV/0!</v>
      </c>
      <c r="T140" s="32" t="str">
        <f>IFERROR(__xludf.DUMMYFUNCTION("SPARKLINE((N140-MIN($J140:$N140))/SUMPRODUCT($J140:$N140-MIN($J140:$N140)), {""charttype"",""bar""; ""max"",1; ""color1"",""#4285F4""})"),"#DIV/0!")</f>
        <v>#DIV/0!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B141" s="1"/>
      <c r="C141" s="2"/>
      <c r="D141" s="2"/>
      <c r="E141" s="2"/>
      <c r="F141" s="2"/>
      <c r="G141" s="2"/>
      <c r="H141" s="2"/>
      <c r="I141" s="41"/>
      <c r="J141" s="38">
        <f t="shared" ref="J141:N141" si="23">EXP(J134)/SUMPRODUCT(EXP($J134:$N134))
</f>
        <v>0.2</v>
      </c>
      <c r="K141" s="39">
        <f t="shared" si="23"/>
        <v>0.2</v>
      </c>
      <c r="L141" s="39">
        <f t="shared" si="23"/>
        <v>0.2</v>
      </c>
      <c r="M141" s="39">
        <f t="shared" si="23"/>
        <v>0.2</v>
      </c>
      <c r="N141" s="40">
        <f t="shared" si="23"/>
        <v>0.2</v>
      </c>
      <c r="O141" s="3"/>
      <c r="P141" s="32" t="str">
        <f>IFERROR(__xludf.DUMMYFUNCTION("SPARKLINE((J141-MIN($J141:$N141))/SUMPRODUCT($J141:$N141-MIN($J141:$N141)), {""charttype"",""bar""; ""max"",1; ""color1"",""#4285F4""})"),"#DIV/0!")</f>
        <v>#DIV/0!</v>
      </c>
      <c r="Q141" s="32" t="str">
        <f>IFERROR(__xludf.DUMMYFUNCTION("SPARKLINE((K141-MIN($J141:$N141))/SUMPRODUCT($J141:$N141-MIN($J141:$N141)), {""charttype"",""bar""; ""max"",1; ""color1"",""#4285F4""})"),"#DIV/0!")</f>
        <v>#DIV/0!</v>
      </c>
      <c r="R141" s="32" t="str">
        <f>IFERROR(__xludf.DUMMYFUNCTION("SPARKLINE((L141-MIN($J141:$N141))/SUMPRODUCT($J141:$N141-MIN($J141:$N141)), {""charttype"",""bar""; ""max"",1; ""color1"",""#4285F4""})"),"#DIV/0!")</f>
        <v>#DIV/0!</v>
      </c>
      <c r="S141" s="32" t="str">
        <f>IFERROR(__xludf.DUMMYFUNCTION("SPARKLINE((M141-MIN($J141:$N141))/SUMPRODUCT($J141:$N141-MIN($J141:$N141)), {""charttype"",""bar""; ""max"",1; ""color1"",""#4285F4""})"),"#DIV/0!")</f>
        <v>#DIV/0!</v>
      </c>
      <c r="T141" s="32" t="str">
        <f>IFERROR(__xludf.DUMMYFUNCTION("SPARKLINE((N141-MIN($J141:$N141))/SUMPRODUCT($J141:$N141-MIN($J141:$N141)), {""charttype"",""bar""; ""max"",1; ""color1"",""#4285F4""})"),"#DIV/0!")</f>
        <v>#DIV/0!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B142" s="1"/>
      <c r="C142" s="2"/>
      <c r="D142" s="2"/>
      <c r="E142" s="2"/>
      <c r="F142" s="2"/>
      <c r="G142" s="2"/>
      <c r="H142" s="2"/>
      <c r="I142" s="42"/>
      <c r="J142" s="38">
        <f t="shared" ref="J142:N142" si="24">EXP(J135)/SUMPRODUCT(EXP($J135:$N135))
</f>
        <v>0.2</v>
      </c>
      <c r="K142" s="39">
        <f t="shared" si="24"/>
        <v>0.2</v>
      </c>
      <c r="L142" s="39">
        <f t="shared" si="24"/>
        <v>0.2</v>
      </c>
      <c r="M142" s="39">
        <f t="shared" si="24"/>
        <v>0.2</v>
      </c>
      <c r="N142" s="40">
        <f t="shared" si="24"/>
        <v>0.2</v>
      </c>
      <c r="O142" s="3"/>
      <c r="P142" s="32" t="str">
        <f>IFERROR(__xludf.DUMMYFUNCTION("SPARKLINE((J142-MIN($J142:$N142))/SUMPRODUCT($J142:$N142-MIN($J142:$N142)), {""charttype"",""bar""; ""max"",1; ""color1"",""#4285F4""})"),"#DIV/0!")</f>
        <v>#DIV/0!</v>
      </c>
      <c r="Q142" s="32" t="str">
        <f>IFERROR(__xludf.DUMMYFUNCTION("SPARKLINE((K142-MIN($J142:$N142))/SUMPRODUCT($J142:$N142-MIN($J142:$N142)), {""charttype"",""bar""; ""max"",1; ""color1"",""#4285F4""})"),"#DIV/0!")</f>
        <v>#DIV/0!</v>
      </c>
      <c r="R142" s="32" t="str">
        <f>IFERROR(__xludf.DUMMYFUNCTION("SPARKLINE((L142-MIN($J142:$N142))/SUMPRODUCT($J142:$N142-MIN($J142:$N142)), {""charttype"",""bar""; ""max"",1; ""color1"",""#4285F4""})"),"#DIV/0!")</f>
        <v>#DIV/0!</v>
      </c>
      <c r="S142" s="32" t="str">
        <f>IFERROR(__xludf.DUMMYFUNCTION("SPARKLINE((M142-MIN($J142:$N142))/SUMPRODUCT($J142:$N142-MIN($J142:$N142)), {""charttype"",""bar""; ""max"",1; ""color1"",""#4285F4""})"),"#DIV/0!")</f>
        <v>#DIV/0!</v>
      </c>
      <c r="T142" s="32" t="str">
        <f>IFERROR(__xludf.DUMMYFUNCTION("SPARKLINE((N142-MIN($J142:$N142))/SUMPRODUCT($J142:$N142-MIN($J142:$N142)), {""charttype"",""bar""; ""max"",1; ""color1"",""#4285F4""})"),"#DIV/0!")</f>
        <v>#DIV/0!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B143" s="1"/>
      <c r="C143" s="2"/>
      <c r="D143" s="2"/>
      <c r="E143" s="2"/>
      <c r="F143" s="2"/>
      <c r="G143" s="2"/>
      <c r="H143" s="2"/>
      <c r="I143" s="41"/>
      <c r="J143" s="43">
        <f t="shared" ref="J143:N143" si="25">EXP(J136)/SUMPRODUCT(EXP($J136:$N136))
</f>
        <v>0.2</v>
      </c>
      <c r="K143" s="44">
        <f t="shared" si="25"/>
        <v>0.2</v>
      </c>
      <c r="L143" s="44">
        <f t="shared" si="25"/>
        <v>0.2</v>
      </c>
      <c r="M143" s="44">
        <f t="shared" si="25"/>
        <v>0.2</v>
      </c>
      <c r="N143" s="45">
        <f t="shared" si="25"/>
        <v>0.2</v>
      </c>
      <c r="O143" s="3"/>
      <c r="P143" s="32" t="str">
        <f>IFERROR(__xludf.DUMMYFUNCTION("SPARKLINE((J143-MIN($J143:$N143))/SUMPRODUCT($J143:$N143-MIN($J143:$N143)), {""charttype"",""bar""; ""max"",1; ""color1"",""#4285F4""})"),"#DIV/0!")</f>
        <v>#DIV/0!</v>
      </c>
      <c r="Q143" s="32" t="str">
        <f>IFERROR(__xludf.DUMMYFUNCTION("SPARKLINE((K143-MIN($J143:$N143))/SUMPRODUCT($J143:$N143-MIN($J143:$N143)), {""charttype"",""bar""; ""max"",1; ""color1"",""#4285F4""})"),"#DIV/0!")</f>
        <v>#DIV/0!</v>
      </c>
      <c r="R143" s="32" t="str">
        <f>IFERROR(__xludf.DUMMYFUNCTION("SPARKLINE((L143-MIN($J143:$N143))/SUMPRODUCT($J143:$N143-MIN($J143:$N143)), {""charttype"",""bar""; ""max"",1; ""color1"",""#4285F4""})"),"#DIV/0!")</f>
        <v>#DIV/0!</v>
      </c>
      <c r="S143" s="32" t="str">
        <f>IFERROR(__xludf.DUMMYFUNCTION("SPARKLINE((M143-MIN($J143:$N143))/SUMPRODUCT($J143:$N143-MIN($J143:$N143)), {""charttype"",""bar""; ""max"",1; ""color1"",""#4285F4""})"),"#DIV/0!")</f>
        <v>#DIV/0!</v>
      </c>
      <c r="T143" s="32" t="str">
        <f>IFERROR(__xludf.DUMMYFUNCTION("SPARKLINE((N143-MIN($J143:$N143))/SUMPRODUCT($J143:$N143-MIN($J143:$N143)), {""charttype"",""bar""; ""max"",1; ""color1"",""#4285F4""})"),"#DIV/0!")</f>
        <v>#DIV/0!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4" t="s">
        <v>32</v>
      </c>
      <c r="AA145" s="4"/>
      <c r="AB145" s="4"/>
      <c r="AC145" s="4"/>
      <c r="AD145" s="4"/>
      <c r="AE145" s="4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B151" s="1"/>
      <c r="C151" s="2"/>
      <c r="D151" s="2"/>
      <c r="E151" s="2"/>
      <c r="F151" s="2"/>
      <c r="G151" s="2"/>
      <c r="H151" s="2"/>
      <c r="I151" s="6" t="s">
        <v>15</v>
      </c>
      <c r="J151" s="7">
        <f t="array" ref="J151:N155">X72:AB76</f>
        <v>0.02969299648</v>
      </c>
      <c r="K151" s="8">
        <v>-1.485267565392957</v>
      </c>
      <c r="L151" s="8">
        <v>0.04056555870629239</v>
      </c>
      <c r="M151" s="8">
        <v>-0.6338763840915111</v>
      </c>
      <c r="N151" s="9">
        <v>-2.055903032884179</v>
      </c>
      <c r="O151" s="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B152" s="1"/>
      <c r="C152" s="2"/>
      <c r="D152" s="2"/>
      <c r="E152" s="2"/>
      <c r="F152" s="2"/>
      <c r="G152" s="2"/>
      <c r="H152" s="2"/>
      <c r="I152" s="1"/>
      <c r="J152" s="11">
        <v>1.4981824925291645</v>
      </c>
      <c r="K152" s="10">
        <v>1.6234021548761668</v>
      </c>
      <c r="L152" s="10">
        <v>1.4848338457424426</v>
      </c>
      <c r="M152" s="10">
        <v>-4.184747133598442</v>
      </c>
      <c r="N152" s="12">
        <v>-1.3637268131563638</v>
      </c>
      <c r="O152" s="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B153" s="1"/>
      <c r="C153" s="2"/>
      <c r="D153" s="2"/>
      <c r="E153" s="2"/>
      <c r="F153" s="2"/>
      <c r="G153" s="2"/>
      <c r="H153" s="2"/>
      <c r="I153" s="1"/>
      <c r="J153" s="11">
        <v>-0.18732403231040004</v>
      </c>
      <c r="K153" s="10">
        <v>-1.0139165434220367</v>
      </c>
      <c r="L153" s="10">
        <v>-0.11748788140466393</v>
      </c>
      <c r="M153" s="10">
        <v>-0.07342226460918677</v>
      </c>
      <c r="N153" s="12">
        <v>-1.222897282717738</v>
      </c>
      <c r="O153" s="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B154" s="1"/>
      <c r="C154" s="2"/>
      <c r="D154" s="2"/>
      <c r="E154" s="2"/>
      <c r="F154" s="2"/>
      <c r="G154" s="2"/>
      <c r="H154" s="2"/>
      <c r="I154" s="1"/>
      <c r="J154" s="11">
        <v>0.4260531171898217</v>
      </c>
      <c r="K154" s="10">
        <v>0.6165136965704854</v>
      </c>
      <c r="L154" s="10">
        <v>1.1063622646208433</v>
      </c>
      <c r="M154" s="10">
        <v>-2.5600776703774875</v>
      </c>
      <c r="N154" s="12">
        <v>-1.9195012743968207</v>
      </c>
      <c r="O154" s="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B155" s="1"/>
      <c r="C155" s="2"/>
      <c r="D155" s="2"/>
      <c r="E155" s="2"/>
      <c r="F155" s="2"/>
      <c r="G155" s="2"/>
      <c r="H155" s="2"/>
      <c r="I155" s="1"/>
      <c r="J155" s="13">
        <v>2.193387810626498</v>
      </c>
      <c r="K155" s="14">
        <v>1.0522457828840501</v>
      </c>
      <c r="L155" s="14">
        <v>1.189052100804318</v>
      </c>
      <c r="M155" s="14">
        <v>-2.15674621167672</v>
      </c>
      <c r="N155" s="15">
        <v>0.831281522691587</v>
      </c>
      <c r="O155" s="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1" t="s">
        <v>4</v>
      </c>
      <c r="M156" s="2"/>
      <c r="N156" s="2"/>
      <c r="O156" s="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1" t="s">
        <v>4</v>
      </c>
      <c r="M157" s="2"/>
      <c r="N157" s="2"/>
      <c r="O157" s="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B158" s="34" t="s">
        <v>24</v>
      </c>
      <c r="C158" s="46" t="str">
        <f t="array" ref="C158:G162">J139:N143</f>
        <v>#VALUE!</v>
      </c>
      <c r="D158" s="36" t="e">
        <v>#VALUE!</v>
      </c>
      <c r="E158" s="36" t="e">
        <v>#VALUE!</v>
      </c>
      <c r="F158" s="36" t="e">
        <v>#VALUE!</v>
      </c>
      <c r="G158" s="37" t="e">
        <v>#VALUE!</v>
      </c>
      <c r="H158" s="2"/>
      <c r="I158" s="6" t="s">
        <v>33</v>
      </c>
      <c r="J158" s="20" t="s">
        <v>34</v>
      </c>
      <c r="K158" s="8"/>
      <c r="L158" s="8"/>
      <c r="M158" s="8"/>
      <c r="N158" s="9"/>
      <c r="O158" s="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B159" s="34" t="s">
        <v>26</v>
      </c>
      <c r="C159" s="38">
        <v>0.2</v>
      </c>
      <c r="D159" s="39">
        <v>0.2</v>
      </c>
      <c r="E159" s="39">
        <v>0.2</v>
      </c>
      <c r="F159" s="39">
        <v>0.2</v>
      </c>
      <c r="G159" s="40">
        <v>0.2</v>
      </c>
      <c r="H159" s="2"/>
      <c r="I159" s="2"/>
      <c r="J159" s="11"/>
      <c r="K159" s="10"/>
      <c r="L159" s="10"/>
      <c r="M159" s="10"/>
      <c r="N159" s="12"/>
      <c r="O159" s="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B160" s="66" t="s">
        <v>35</v>
      </c>
      <c r="C160" s="38">
        <v>0.2</v>
      </c>
      <c r="D160" s="39">
        <v>0.2</v>
      </c>
      <c r="E160" s="39">
        <v>0.2</v>
      </c>
      <c r="F160" s="39">
        <v>0.2</v>
      </c>
      <c r="G160" s="40">
        <v>0.2</v>
      </c>
      <c r="H160" s="17" t="s">
        <v>8</v>
      </c>
      <c r="I160" s="17" t="s">
        <v>8</v>
      </c>
      <c r="J160" s="11"/>
      <c r="K160" s="10"/>
      <c r="L160" s="10"/>
      <c r="M160" s="10"/>
      <c r="N160" s="12"/>
      <c r="O160" s="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B161" s="42"/>
      <c r="C161" s="38">
        <v>0.2</v>
      </c>
      <c r="D161" s="39">
        <v>0.2</v>
      </c>
      <c r="E161" s="39">
        <v>0.2</v>
      </c>
      <c r="F161" s="39">
        <v>0.2</v>
      </c>
      <c r="G161" s="40">
        <v>0.2</v>
      </c>
      <c r="H161" s="2"/>
      <c r="I161" s="2"/>
      <c r="J161" s="11"/>
      <c r="K161" s="10"/>
      <c r="L161" s="10"/>
      <c r="M161" s="10"/>
      <c r="N161" s="12"/>
      <c r="O161" s="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B162" s="41"/>
      <c r="C162" s="43">
        <v>0.2</v>
      </c>
      <c r="D162" s="44">
        <v>0.2</v>
      </c>
      <c r="E162" s="44">
        <v>0.2</v>
      </c>
      <c r="F162" s="44">
        <v>0.2</v>
      </c>
      <c r="G162" s="45">
        <v>0.2</v>
      </c>
      <c r="H162" s="2"/>
      <c r="I162" s="2"/>
      <c r="J162" s="13"/>
      <c r="K162" s="14"/>
      <c r="L162" s="14"/>
      <c r="M162" s="14"/>
      <c r="N162" s="15"/>
      <c r="O162" s="3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4" t="s">
        <v>36</v>
      </c>
      <c r="AA164" s="4"/>
      <c r="AB164" s="4"/>
      <c r="AC164" s="4"/>
      <c r="AD164" s="4"/>
      <c r="AE164" s="4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I167" s="6" t="s">
        <v>5</v>
      </c>
      <c r="J167" s="7">
        <f t="array" ref="J167:N171">$C$21:$G$25</f>
        <v>-0.348553156</v>
      </c>
      <c r="K167" s="8">
        <v>1.8755659761979686</v>
      </c>
      <c r="L167" s="8">
        <v>-0.5785006821310423</v>
      </c>
      <c r="M167" s="8">
        <v>-0.5770165000087861</v>
      </c>
      <c r="N167" s="9">
        <v>-0.11823043813346472</v>
      </c>
      <c r="O167" s="3"/>
      <c r="P167" s="6" t="s">
        <v>10</v>
      </c>
      <c r="Q167" s="7">
        <f t="array" ref="Q167:U171">$C$36:$G$40</f>
        <v>0.666984847</v>
      </c>
      <c r="R167" s="8">
        <v>-0.96956002383738</v>
      </c>
      <c r="S167" s="8">
        <v>1.908340697172096</v>
      </c>
      <c r="T167" s="8">
        <v>0.2893170851476591</v>
      </c>
      <c r="U167" s="9">
        <v>-0.5273100298769865</v>
      </c>
      <c r="V167" s="2"/>
    </row>
    <row r="168">
      <c r="I168" s="1"/>
      <c r="J168" s="11">
        <v>0.7812262759726472</v>
      </c>
      <c r="K168" s="10">
        <v>0.13119588503792498</v>
      </c>
      <c r="L168" s="10">
        <v>-0.5837625396009992</v>
      </c>
      <c r="M168" s="10">
        <v>0.09702089781590813</v>
      </c>
      <c r="N168" s="12">
        <v>-0.36877567724079263</v>
      </c>
      <c r="O168" s="3"/>
      <c r="P168" s="2"/>
      <c r="Q168" s="11">
        <v>-1.8461433438682904</v>
      </c>
      <c r="R168" s="10">
        <v>-0.3758775064971926</v>
      </c>
      <c r="S168" s="10">
        <v>-1.220725079373535</v>
      </c>
      <c r="T168" s="10">
        <v>0.3319780472096626</v>
      </c>
      <c r="U168" s="12">
        <v>0.5743800013031803</v>
      </c>
      <c r="V168" s="2"/>
    </row>
    <row r="169">
      <c r="I169" s="1"/>
      <c r="J169" s="11">
        <v>-0.33129715096947554</v>
      </c>
      <c r="K169" s="10">
        <v>1.6904799478711885</v>
      </c>
      <c r="L169" s="10">
        <v>0.01753329172949354</v>
      </c>
      <c r="M169" s="10">
        <v>-0.18478747501122753</v>
      </c>
      <c r="N169" s="12">
        <v>0.38064469777451204</v>
      </c>
      <c r="O169" s="3"/>
      <c r="P169" s="2"/>
      <c r="Q169" s="11">
        <v>-0.3816670931087675</v>
      </c>
      <c r="R169" s="10">
        <v>0.2816756688934119</v>
      </c>
      <c r="S169" s="10">
        <v>1.418062070101652</v>
      </c>
      <c r="T169" s="10">
        <v>-0.5262406745226238</v>
      </c>
      <c r="U169" s="12">
        <v>0.40819969928087463</v>
      </c>
      <c r="V169" s="2"/>
    </row>
    <row r="170">
      <c r="I170" s="1"/>
      <c r="J170" s="11">
        <v>1.8745106926387343</v>
      </c>
      <c r="K170" s="10">
        <v>-0.21217006180060569</v>
      </c>
      <c r="L170" s="10">
        <v>-0.4102869139329501</v>
      </c>
      <c r="M170" s="10">
        <v>-0.4944961665028092</v>
      </c>
      <c r="N170" s="12">
        <v>0.3782544872633031</v>
      </c>
      <c r="O170" s="3"/>
      <c r="P170" s="2"/>
      <c r="Q170" s="11">
        <v>-0.24548801155662278</v>
      </c>
      <c r="R170" s="10">
        <v>-1.008958024851033</v>
      </c>
      <c r="S170" s="10">
        <v>-0.03528300714071811</v>
      </c>
      <c r="T170" s="10">
        <v>-0.05813512123319542</v>
      </c>
      <c r="U170" s="12">
        <v>-1.3492270180182386</v>
      </c>
      <c r="V170" s="2"/>
    </row>
    <row r="171">
      <c r="I171" s="1"/>
      <c r="J171" s="13">
        <v>-0.22987153419638656</v>
      </c>
      <c r="K171" s="14">
        <v>1.2065716244508424</v>
      </c>
      <c r="L171" s="14">
        <v>-1.3881716027114206</v>
      </c>
      <c r="M171" s="14">
        <v>0.7990950823948982</v>
      </c>
      <c r="N171" s="15">
        <v>-0.5625286542811443</v>
      </c>
      <c r="O171" s="3"/>
      <c r="P171" s="2"/>
      <c r="Q171" s="13">
        <v>-1.096249906913729</v>
      </c>
      <c r="R171" s="14">
        <v>-0.4162193533742523</v>
      </c>
      <c r="S171" s="14">
        <v>1.3184524651312346</v>
      </c>
      <c r="T171" s="14">
        <v>0.14586239389775427</v>
      </c>
      <c r="U171" s="15">
        <v>1.0681545770383882</v>
      </c>
      <c r="V171" s="2"/>
    </row>
    <row r="172">
      <c r="I172" s="1"/>
      <c r="J172" s="2"/>
      <c r="K172" s="2"/>
      <c r="L172" s="21" t="s">
        <v>4</v>
      </c>
      <c r="M172" s="2"/>
      <c r="N172" s="2"/>
      <c r="O172" s="3"/>
      <c r="P172" s="2"/>
      <c r="Q172" s="2"/>
      <c r="R172" s="2"/>
      <c r="S172" s="21" t="s">
        <v>4</v>
      </c>
      <c r="T172" s="2"/>
      <c r="U172" s="2"/>
      <c r="V172" s="2"/>
      <c r="W172" s="2"/>
      <c r="X172" s="2"/>
      <c r="Y172" s="2"/>
      <c r="AA172" s="2"/>
      <c r="AB172" s="2"/>
      <c r="AC172" s="2"/>
      <c r="AD172" s="2"/>
      <c r="AE172" s="2"/>
    </row>
    <row r="173">
      <c r="I173" s="1"/>
      <c r="J173" s="2"/>
      <c r="K173" s="2"/>
      <c r="L173" s="21" t="s">
        <v>4</v>
      </c>
      <c r="M173" s="2"/>
      <c r="N173" s="2"/>
      <c r="O173" s="3"/>
      <c r="P173" s="2"/>
      <c r="Q173" s="2"/>
      <c r="R173" s="2"/>
      <c r="S173" s="21" t="s">
        <v>4</v>
      </c>
      <c r="T173" s="2"/>
      <c r="U173" s="2"/>
      <c r="V173" s="2"/>
      <c r="W173" s="2"/>
      <c r="X173" s="2"/>
      <c r="Y173" s="2"/>
      <c r="AA173" s="2"/>
      <c r="AB173" s="2"/>
      <c r="AC173" s="2"/>
      <c r="AD173" s="2"/>
      <c r="AE173" s="2"/>
    </row>
    <row r="174">
      <c r="B174" s="6" t="s">
        <v>2</v>
      </c>
      <c r="C174" s="7">
        <f t="array" ref="C174:G178">$J$14:$N$18</f>
        <v>0.602311076</v>
      </c>
      <c r="D174" s="8">
        <v>0.3919418073167533</v>
      </c>
      <c r="E174" s="8">
        <v>-0.48389421468512284</v>
      </c>
      <c r="F174" s="8">
        <v>-0.7885378464146406</v>
      </c>
      <c r="G174" s="9">
        <v>0.743677023526336</v>
      </c>
      <c r="I174" s="6" t="s">
        <v>6</v>
      </c>
      <c r="J174" s="10">
        <f t="array" ref="J174:N178">MMULT(J167:N171,C174:G178)</f>
        <v>-0.237770376</v>
      </c>
      <c r="K174" s="10">
        <v>0.7612059594636884</v>
      </c>
      <c r="L174" s="10">
        <v>1.0195081892121345</v>
      </c>
      <c r="M174" s="10">
        <v>-0.974038761970205</v>
      </c>
      <c r="N174" s="10">
        <v>-1.0854892630837811</v>
      </c>
      <c r="O174" s="3"/>
      <c r="P174" s="6" t="s">
        <v>11</v>
      </c>
      <c r="Q174" s="10">
        <f t="array" ref="Q174:U178">MMULT(Q167:U171,C174:G178)</f>
        <v>-0.8761060598</v>
      </c>
      <c r="R174" s="10">
        <v>2.145175605777132</v>
      </c>
      <c r="S174" s="10">
        <v>-1.9129932415244977</v>
      </c>
      <c r="T174" s="10">
        <v>0.26005461582445166</v>
      </c>
      <c r="U174" s="10">
        <v>2.7786106908445514</v>
      </c>
      <c r="V174" s="2"/>
    </row>
    <row r="175">
      <c r="B175" s="6" t="s">
        <v>3</v>
      </c>
      <c r="C175" s="11">
        <v>-0.12666791834018415</v>
      </c>
      <c r="D175" s="10">
        <v>0.7077432219287846</v>
      </c>
      <c r="E175" s="10">
        <v>0.3576456907713019</v>
      </c>
      <c r="F175" s="10">
        <v>-0.11609091747919258</v>
      </c>
      <c r="G175" s="12">
        <v>0.213684671578444</v>
      </c>
      <c r="I175" s="1"/>
      <c r="J175" s="10">
        <v>0.9928028971102808</v>
      </c>
      <c r="K175" s="10">
        <v>-0.03962093377579423</v>
      </c>
      <c r="L175" s="10">
        <v>0.402502287984911</v>
      </c>
      <c r="M175" s="10">
        <v>-1.3937347905444526</v>
      </c>
      <c r="N175" s="10">
        <v>-0.4133959780160392</v>
      </c>
      <c r="O175" s="3"/>
      <c r="P175" s="1"/>
      <c r="Q175" s="10">
        <v>0.061247975786114406</v>
      </c>
      <c r="R175" s="10">
        <v>-2.9599467139573816</v>
      </c>
      <c r="S175" s="10">
        <v>1.787281147877411</v>
      </c>
      <c r="T175" s="10">
        <v>1.8647602882152436</v>
      </c>
      <c r="U175" s="10">
        <v>-2.5861278568576687</v>
      </c>
      <c r="V175" s="2"/>
    </row>
    <row r="176">
      <c r="B176" s="1"/>
      <c r="C176" s="11">
        <v>-0.8170491227254827</v>
      </c>
      <c r="D176" s="10">
        <v>1.1812065113373647</v>
      </c>
      <c r="E176" s="10">
        <v>-0.8715015174539364</v>
      </c>
      <c r="F176" s="10">
        <v>0.592896729358582</v>
      </c>
      <c r="G176" s="12">
        <v>1.4092254924676608</v>
      </c>
      <c r="H176" s="21" t="s">
        <v>8</v>
      </c>
      <c r="I176" s="21"/>
      <c r="J176" s="10">
        <v>-0.5312681611626326</v>
      </c>
      <c r="K176" s="10">
        <v>0.8524586975963675</v>
      </c>
      <c r="L176" s="10">
        <v>0.46238010860360046</v>
      </c>
      <c r="M176" s="10">
        <v>0.4279497498026281</v>
      </c>
      <c r="N176" s="10">
        <v>0.29733977896418523</v>
      </c>
      <c r="O176" s="3"/>
      <c r="P176" s="1"/>
      <c r="Q176" s="10">
        <v>-1.6874864368087545</v>
      </c>
      <c r="R176" s="10">
        <v>1.5664515894228792</v>
      </c>
      <c r="S176" s="10">
        <v>-1.4722011784109454</v>
      </c>
      <c r="T176" s="10">
        <v>1.1878689048871287</v>
      </c>
      <c r="U176" s="10">
        <v>1.7563006776283474</v>
      </c>
      <c r="V176" s="2"/>
    </row>
    <row r="177">
      <c r="B177" s="1"/>
      <c r="C177" s="11">
        <v>0.46499451517565493</v>
      </c>
      <c r="D177" s="10">
        <v>-0.28497097872606425</v>
      </c>
      <c r="E177" s="10">
        <v>0.6515113924424661</v>
      </c>
      <c r="F177" s="10">
        <v>0.9121045396513038</v>
      </c>
      <c r="G177" s="12">
        <v>0.5718877219783896</v>
      </c>
      <c r="I177" s="1"/>
      <c r="J177" s="10">
        <v>1.2439652404190353</v>
      </c>
      <c r="K177" s="10">
        <v>-0.04486142077995542</v>
      </c>
      <c r="L177" s="10">
        <v>-1.1133571657100048</v>
      </c>
      <c r="M177" s="10">
        <v>-1.629944973130693</v>
      </c>
      <c r="N177" s="10">
        <v>0.7495131616167172</v>
      </c>
      <c r="O177" s="3"/>
      <c r="P177" s="1"/>
      <c r="Q177" s="10">
        <v>0.043214874647881</v>
      </c>
      <c r="R177" s="10">
        <v>0.18361300757763466</v>
      </c>
      <c r="S177" s="10">
        <v>0.342242571637808</v>
      </c>
      <c r="T177" s="10">
        <v>-1.6103509718329057</v>
      </c>
      <c r="U177" s="10">
        <v>-1.4149784255243576</v>
      </c>
      <c r="V177" s="2"/>
    </row>
    <row r="178">
      <c r="B178" s="1"/>
      <c r="C178" s="13">
        <v>-0.04556458771505738</v>
      </c>
      <c r="D178" s="14">
        <v>-0.7552642420957864</v>
      </c>
      <c r="E178" s="14">
        <v>-0.4383460488493433</v>
      </c>
      <c r="F178" s="14">
        <v>1.3690164148778667</v>
      </c>
      <c r="G178" s="15">
        <v>0.6921350372977554</v>
      </c>
      <c r="I178" s="1"/>
      <c r="J178" s="10">
        <v>1.2401225197182961</v>
      </c>
      <c r="K178" s="10">
        <v>-0.6787318415557233</v>
      </c>
      <c r="L178" s="10">
        <v>2.5197540686533695</v>
      </c>
      <c r="M178" s="10">
        <v>-0.8231047146802959</v>
      </c>
      <c r="N178" s="10">
        <v>-1.801724252295561</v>
      </c>
      <c r="O178" s="3"/>
      <c r="P178" s="1"/>
      <c r="Q178" s="10">
        <v>-1.6656470616911385</v>
      </c>
      <c r="R178" s="10">
        <v>-0.015183465487397463</v>
      </c>
      <c r="S178" s="10">
        <v>-1.1406137214498169</v>
      </c>
      <c r="T178" s="10">
        <v>3.289822882957911</v>
      </c>
      <c r="U178" s="10">
        <v>1.7765253810115056</v>
      </c>
      <c r="V178" s="2"/>
    </row>
    <row r="179">
      <c r="N179" s="21" t="s">
        <v>4</v>
      </c>
      <c r="O179" s="3"/>
      <c r="R179" s="67" t="s">
        <v>4</v>
      </c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N180" s="21" t="s">
        <v>4</v>
      </c>
      <c r="O180" s="3"/>
      <c r="P180" s="2"/>
      <c r="Q180" s="2"/>
      <c r="R180" s="67" t="s">
        <v>4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B181" s="6"/>
      <c r="C181" s="21"/>
      <c r="D181" s="21"/>
      <c r="E181" s="21"/>
      <c r="F181" s="21"/>
      <c r="G181" s="21"/>
      <c r="I181" s="2"/>
      <c r="J181" s="2"/>
      <c r="K181" s="2"/>
      <c r="M181" s="68" t="s">
        <v>22</v>
      </c>
      <c r="N181" s="69">
        <f t="array" ref="N181:R185">MMULT(TRANSPOSE(Q174:U178),J174:N178) / 5^0.5</f>
        <v>-0.3784417944</v>
      </c>
      <c r="O181" s="70">
        <v>-0.4379327189295067</v>
      </c>
      <c r="P181" s="71">
        <v>-2.635849904581104</v>
      </c>
      <c r="Q181" s="72">
        <v>0.602129507714503</v>
      </c>
      <c r="R181" s="73">
        <v>1.546175728650696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B182" s="6"/>
      <c r="C182" s="21"/>
      <c r="D182" s="21"/>
      <c r="E182" s="21"/>
      <c r="F182" s="21"/>
      <c r="G182" s="21"/>
      <c r="I182" s="2"/>
      <c r="J182" s="2"/>
      <c r="K182" s="2"/>
      <c r="M182" s="74"/>
      <c r="N182" s="75">
        <v>-1.8207540817834826</v>
      </c>
      <c r="O182" s="76">
        <v>1.3808166754682616</v>
      </c>
      <c r="P182" s="77">
        <v>0.6606460031486865</v>
      </c>
      <c r="Q182" s="78">
        <v>1.0820232638644172</v>
      </c>
      <c r="R182" s="79">
        <v>-0.2120641556504267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B183" s="6"/>
      <c r="C183" s="21"/>
      <c r="D183" s="21"/>
      <c r="E183" s="21"/>
      <c r="F183" s="21"/>
      <c r="G183" s="21"/>
      <c r="I183" s="2"/>
      <c r="J183" s="2"/>
      <c r="K183" s="2"/>
      <c r="M183" s="74"/>
      <c r="N183" s="80">
        <v>0.9045528838379604</v>
      </c>
      <c r="O183" s="81">
        <v>-0.9047886556753403</v>
      </c>
      <c r="P183" s="82">
        <v>-2.310640106663856</v>
      </c>
      <c r="Q183" s="83">
        <v>-0.39206612227746834</v>
      </c>
      <c r="R183" s="84">
        <v>1.4362360901330715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B184" s="6"/>
      <c r="C184" s="21"/>
      <c r="D184" s="21"/>
      <c r="E184" s="21"/>
      <c r="F184" s="21"/>
      <c r="G184" s="21"/>
      <c r="I184" s="2"/>
      <c r="J184" s="2"/>
      <c r="K184" s="2"/>
      <c r="M184" s="42"/>
      <c r="N184" s="85">
        <v>1.4467324096217808</v>
      </c>
      <c r="O184" s="86">
        <v>-0.4579396344186772</v>
      </c>
      <c r="P184" s="87">
        <v>5.208869118360922</v>
      </c>
      <c r="Q184" s="72">
        <v>-1.0853970645978006</v>
      </c>
      <c r="R184" s="88">
        <v>-3.5036068759145778</v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B185" s="6"/>
      <c r="C185" s="21"/>
      <c r="D185" s="21"/>
      <c r="E185" s="21"/>
      <c r="F185" s="21"/>
      <c r="G185" s="21"/>
      <c r="I185" s="2"/>
      <c r="J185" s="2"/>
      <c r="K185" s="2"/>
      <c r="M185" s="74"/>
      <c r="N185" s="89">
        <v>-1.6628868405243555</v>
      </c>
      <c r="O185" s="90">
        <v>1.1504244194245157</v>
      </c>
      <c r="P185" s="91">
        <v>3.8709717172975306</v>
      </c>
      <c r="Q185" s="92">
        <v>1.115163253158656</v>
      </c>
      <c r="R185" s="93">
        <v>-2.5429428065688082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B186" s="6"/>
      <c r="C186" s="21"/>
      <c r="D186" s="21"/>
      <c r="E186" s="21"/>
      <c r="F186" s="21"/>
      <c r="G186" s="21"/>
      <c r="I186" s="2"/>
      <c r="J186" s="2"/>
      <c r="K186" s="2"/>
      <c r="M186" s="74"/>
      <c r="N186" s="94"/>
      <c r="O186" s="95"/>
      <c r="P186" s="42" t="s">
        <v>4</v>
      </c>
      <c r="Q186" s="94"/>
      <c r="R186" s="94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B187" s="6"/>
      <c r="C187" s="21"/>
      <c r="D187" s="21"/>
      <c r="E187" s="21"/>
      <c r="F187" s="21"/>
      <c r="G187" s="21"/>
      <c r="I187" s="2"/>
      <c r="J187" s="2"/>
      <c r="K187" s="2"/>
      <c r="M187" s="74"/>
      <c r="N187" s="94"/>
      <c r="O187" s="95"/>
      <c r="P187" s="42" t="s">
        <v>4</v>
      </c>
      <c r="Q187" s="94"/>
      <c r="R187" s="94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D188" s="34" t="s">
        <v>28</v>
      </c>
      <c r="E188" s="49">
        <v>0.0</v>
      </c>
      <c r="F188" s="50">
        <v>-99.0</v>
      </c>
      <c r="G188" s="50">
        <v>-99.0</v>
      </c>
      <c r="H188" s="50">
        <v>-99.0</v>
      </c>
      <c r="I188" s="51">
        <v>-99.0</v>
      </c>
      <c r="J188" s="41"/>
      <c r="K188" s="41"/>
      <c r="M188" s="34" t="s">
        <v>37</v>
      </c>
      <c r="N188" s="96">
        <f t="shared" ref="N188:R188" si="26">EXP(N181+E188)/SUMPRODUCT(EXP($N181:$R181+$E188:$I188))
</f>
        <v>1</v>
      </c>
      <c r="O188" s="96">
        <f t="shared" si="26"/>
        <v>0</v>
      </c>
      <c r="P188" s="96">
        <f t="shared" si="26"/>
        <v>0</v>
      </c>
      <c r="Q188" s="96">
        <f t="shared" si="26"/>
        <v>0</v>
      </c>
      <c r="R188" s="96">
        <f t="shared" si="26"/>
        <v>0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D189" s="34" t="s">
        <v>31</v>
      </c>
      <c r="E189" s="55">
        <v>0.0</v>
      </c>
      <c r="F189" s="56">
        <v>0.0</v>
      </c>
      <c r="G189" s="57">
        <v>-99.0</v>
      </c>
      <c r="H189" s="57">
        <v>-99.0</v>
      </c>
      <c r="I189" s="58">
        <v>-99.0</v>
      </c>
      <c r="J189" s="41"/>
      <c r="K189" s="41"/>
      <c r="M189" s="34" t="s">
        <v>35</v>
      </c>
      <c r="N189" s="96">
        <f t="shared" ref="N189:R189" si="27">EXP(N182+E189)/SUMPRODUCT(EXP($N182:$R182+$E189:$I189))
</f>
        <v>0.03910665519</v>
      </c>
      <c r="O189" s="96">
        <f t="shared" si="27"/>
        <v>0.9608933448</v>
      </c>
      <c r="P189" s="96">
        <f t="shared" si="27"/>
        <v>0</v>
      </c>
      <c r="Q189" s="96">
        <f t="shared" si="27"/>
        <v>0</v>
      </c>
      <c r="R189" s="96">
        <f t="shared" si="27"/>
        <v>0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D190" s="1"/>
      <c r="E190" s="55">
        <v>0.0</v>
      </c>
      <c r="F190" s="56">
        <v>0.0</v>
      </c>
      <c r="G190" s="56">
        <v>0.0</v>
      </c>
      <c r="H190" s="57">
        <v>-99.0</v>
      </c>
      <c r="I190" s="58">
        <v>-99.0</v>
      </c>
      <c r="J190" s="67" t="s">
        <v>8</v>
      </c>
      <c r="K190" s="67" t="s">
        <v>8</v>
      </c>
      <c r="L190" s="67" t="s">
        <v>8</v>
      </c>
      <c r="M190" s="67" t="s">
        <v>8</v>
      </c>
      <c r="N190" s="96">
        <f t="shared" ref="N190:R190" si="28">EXP(N183+E190)/SUMPRODUCT(EXP($N183:$R183+$E190:$I190))
</f>
        <v>0.8306272073</v>
      </c>
      <c r="O190" s="96">
        <f t="shared" si="28"/>
        <v>0.1360251163</v>
      </c>
      <c r="P190" s="96">
        <f t="shared" si="28"/>
        <v>0.03334767639</v>
      </c>
      <c r="Q190" s="96">
        <f t="shared" si="28"/>
        <v>0</v>
      </c>
      <c r="R190" s="96">
        <f t="shared" si="28"/>
        <v>0</v>
      </c>
      <c r="S190" s="2"/>
      <c r="T190" s="2"/>
      <c r="U190" s="2"/>
      <c r="V190" s="21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D191" s="1"/>
      <c r="E191" s="55">
        <v>0.0</v>
      </c>
      <c r="F191" s="56">
        <v>0.0</v>
      </c>
      <c r="G191" s="56">
        <v>0.0</v>
      </c>
      <c r="H191" s="56">
        <v>0.0</v>
      </c>
      <c r="I191" s="58">
        <v>-99.0</v>
      </c>
      <c r="J191" s="2"/>
      <c r="K191" s="2"/>
      <c r="M191" s="94"/>
      <c r="N191" s="96">
        <f t="shared" ref="N191:R191" si="29">EXP(N184+E191)/SUMPRODUCT(EXP($N184:$R184+$E191:$I191))
</f>
        <v>0.02258934762</v>
      </c>
      <c r="O191" s="96">
        <f t="shared" si="29"/>
        <v>0.003362909113</v>
      </c>
      <c r="P191" s="96">
        <f t="shared" si="29"/>
        <v>0.9722521258</v>
      </c>
      <c r="Q191" s="96">
        <f t="shared" si="29"/>
        <v>0.001795617505</v>
      </c>
      <c r="R191" s="96">
        <f t="shared" si="29"/>
        <v>0</v>
      </c>
      <c r="S191" s="2"/>
      <c r="T191" s="2"/>
      <c r="U191" s="21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D192" s="1"/>
      <c r="E192" s="62">
        <v>0.0</v>
      </c>
      <c r="F192" s="63">
        <v>0.0</v>
      </c>
      <c r="G192" s="63">
        <v>0.0</v>
      </c>
      <c r="H192" s="63">
        <v>0.0</v>
      </c>
      <c r="I192" s="64">
        <v>0.0</v>
      </c>
      <c r="J192" s="2"/>
      <c r="K192" s="2"/>
      <c r="M192" s="41"/>
      <c r="N192" s="96">
        <f t="shared" ref="N192:R192" si="30">EXP(N185+E192)/SUMPRODUCT(EXP($N185:$R185+$E192:$I192))
</f>
        <v>0.003480850718</v>
      </c>
      <c r="O192" s="96">
        <f t="shared" si="30"/>
        <v>0.05800840901</v>
      </c>
      <c r="P192" s="96">
        <f t="shared" si="30"/>
        <v>0.8810684166</v>
      </c>
      <c r="Q192" s="96">
        <f t="shared" si="30"/>
        <v>0.05599860707</v>
      </c>
      <c r="R192" s="96">
        <f t="shared" si="30"/>
        <v>0.001443716594</v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M193" s="41"/>
      <c r="N193" s="41"/>
      <c r="O193" s="97"/>
      <c r="P193" s="41"/>
      <c r="Q193" s="98" t="s">
        <v>4</v>
      </c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M194" s="41"/>
      <c r="N194" s="41"/>
      <c r="O194" s="97"/>
      <c r="P194" s="41"/>
      <c r="Q194" s="98" t="s">
        <v>4</v>
      </c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</row>
    <row r="195">
      <c r="B195" s="6" t="s">
        <v>14</v>
      </c>
      <c r="C195" s="7">
        <f t="array" ref="C195:G199">$C$51:$G$55</f>
        <v>-0.471297273</v>
      </c>
      <c r="D195" s="8">
        <v>-0.6007628821582909</v>
      </c>
      <c r="E195" s="8">
        <v>-0.8375196836716798</v>
      </c>
      <c r="F195" s="8">
        <v>-0.9409312169872707</v>
      </c>
      <c r="G195" s="9">
        <v>0.2041867999131089</v>
      </c>
      <c r="H195" s="6" t="s">
        <v>15</v>
      </c>
      <c r="I195" s="10">
        <f t="array" ref="I195:M199">MMULT(C195:G199,C174:G178)</f>
        <v>0.02969299648</v>
      </c>
      <c r="J195" s="10">
        <v>-1.485267565392957</v>
      </c>
      <c r="K195" s="10">
        <v>0.04056555870629239</v>
      </c>
      <c r="L195" s="10">
        <v>-0.6338763840915111</v>
      </c>
      <c r="M195" s="10">
        <v>-2.055903032884179</v>
      </c>
      <c r="O195" s="66" t="s">
        <v>38</v>
      </c>
      <c r="P195" s="10">
        <f t="array" ref="P195:T199">MMULT(I195:M199,N188:R192)</f>
        <v>-0.01617113886</v>
      </c>
      <c r="Q195" s="10">
        <v>-1.5430571166873381</v>
      </c>
      <c r="R195" s="10">
        <v>-2.426326124666902</v>
      </c>
      <c r="S195" s="10">
        <v>-0.11626590564416033</v>
      </c>
      <c r="T195" s="10">
        <v>-0.002968141325085302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B196" s="2"/>
      <c r="C196" s="11">
        <v>1.136607743867136</v>
      </c>
      <c r="D196" s="10">
        <v>0.2631177235423704</v>
      </c>
      <c r="E196" s="10">
        <v>-0.6082066794744388</v>
      </c>
      <c r="F196" s="10">
        <v>0.5118655980479437</v>
      </c>
      <c r="G196" s="12">
        <v>-2.457395310367208</v>
      </c>
      <c r="H196" s="1"/>
      <c r="I196" s="10">
        <v>1.4981824925291645</v>
      </c>
      <c r="J196" s="10">
        <v>1.6234021548761668</v>
      </c>
      <c r="K196" s="10">
        <v>1.4848338457424426</v>
      </c>
      <c r="L196" s="10">
        <v>-4.184747133598442</v>
      </c>
      <c r="M196" s="10">
        <v>-1.3637268131563638</v>
      </c>
      <c r="O196" s="66" t="s">
        <v>39</v>
      </c>
      <c r="P196" s="10">
        <v>2.695734074307971</v>
      </c>
      <c r="Q196" s="10">
        <v>1.6687104760986347</v>
      </c>
      <c r="R196" s="10">
        <v>-5.220650161816436</v>
      </c>
      <c r="S196" s="10">
        <v>-0.08388100716679779</v>
      </c>
      <c r="T196" s="10">
        <v>-0.001968835030404042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B197" s="2"/>
      <c r="C197" s="11">
        <v>-0.4161995297157492</v>
      </c>
      <c r="D197" s="10">
        <v>-0.19750662699026272</v>
      </c>
      <c r="E197" s="10">
        <v>-0.514041085706029</v>
      </c>
      <c r="F197" s="10">
        <v>-0.7785237792346945</v>
      </c>
      <c r="G197" s="12">
        <v>0.4312061377325472</v>
      </c>
      <c r="H197" s="67" t="s">
        <v>8</v>
      </c>
      <c r="I197" s="10">
        <v>-0.18732403231040004</v>
      </c>
      <c r="J197" s="10">
        <v>-1.0139165434220367</v>
      </c>
      <c r="K197" s="10">
        <v>-0.11748788140466393</v>
      </c>
      <c r="L197" s="10">
        <v>-0.07342226460918677</v>
      </c>
      <c r="M197" s="10">
        <v>-1.222897282717738</v>
      </c>
      <c r="N197" s="67" t="s">
        <v>8</v>
      </c>
      <c r="O197" s="97" t="s">
        <v>8</v>
      </c>
      <c r="P197" s="10">
        <v>-0.33047883173341264</v>
      </c>
      <c r="Q197" s="10">
        <v>-1.0614321996516687</v>
      </c>
      <c r="R197" s="10">
        <v>-1.1527590732528181</v>
      </c>
      <c r="S197" s="10">
        <v>-0.06861238272579999</v>
      </c>
      <c r="T197" s="10">
        <v>-0.0017655171003259694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B198" s="2"/>
      <c r="C198" s="11">
        <v>0.025551611647074063</v>
      </c>
      <c r="D198" s="10">
        <v>0.420890304330707</v>
      </c>
      <c r="E198" s="10">
        <v>-0.6633550607068595</v>
      </c>
      <c r="F198" s="10">
        <v>-0.29844777058403255</v>
      </c>
      <c r="G198" s="12">
        <v>-1.333476416962339</v>
      </c>
      <c r="H198" s="1"/>
      <c r="I198" s="10">
        <v>0.4260531171898217</v>
      </c>
      <c r="J198" s="10">
        <v>0.6165136965704854</v>
      </c>
      <c r="K198" s="10">
        <v>1.1063622646208433</v>
      </c>
      <c r="L198" s="10">
        <v>-2.5600776703774875</v>
      </c>
      <c r="M198" s="10">
        <v>-1.9195012743968207</v>
      </c>
      <c r="O198" s="3"/>
      <c r="P198" s="10">
        <v>1.3046255220724716</v>
      </c>
      <c r="Q198" s="10">
        <v>0.6229404401884021</v>
      </c>
      <c r="R198" s="10">
        <v>-4.143358294897111</v>
      </c>
      <c r="S198" s="10">
        <v>-0.11208631791407</v>
      </c>
      <c r="T198" s="10">
        <v>-0.002771215842849564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B199" s="2"/>
      <c r="C199" s="13">
        <v>2.1028817549353254</v>
      </c>
      <c r="D199" s="14">
        <v>2.0313453048139536</v>
      </c>
      <c r="E199" s="14">
        <v>-1.0068934507109522</v>
      </c>
      <c r="F199" s="14">
        <v>0.7520892665541032</v>
      </c>
      <c r="G199" s="15">
        <v>-0.2569171690770207</v>
      </c>
      <c r="H199" s="1"/>
      <c r="I199" s="10">
        <v>2.193387810626498</v>
      </c>
      <c r="J199" s="10">
        <v>1.0522457828840501</v>
      </c>
      <c r="K199" s="10">
        <v>1.189052100804318</v>
      </c>
      <c r="L199" s="10">
        <v>-2.15674621167672</v>
      </c>
      <c r="M199" s="10">
        <v>0.831281522691587</v>
      </c>
      <c r="O199" s="3"/>
      <c r="P199" s="10">
        <v>3.1763707264650702</v>
      </c>
      <c r="Q199" s="10">
        <v>1.2138052972558977</v>
      </c>
      <c r="R199" s="10">
        <v>-1.3248330694233954</v>
      </c>
      <c r="S199" s="10">
        <v>0.04267791610321847</v>
      </c>
      <c r="T199" s="10">
        <v>0.0012001349289413373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4" t="s">
        <v>40</v>
      </c>
      <c r="AA201" s="4"/>
      <c r="AB201" s="4"/>
      <c r="AC201" s="4"/>
      <c r="AD201" s="4"/>
      <c r="AE201" s="4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B203" s="1"/>
      <c r="C203" s="2"/>
      <c r="D203" s="2"/>
      <c r="E203" s="2"/>
      <c r="F203" s="2"/>
      <c r="G203" s="2"/>
      <c r="H203" s="2"/>
      <c r="L203" s="6" t="s">
        <v>2</v>
      </c>
      <c r="M203" s="7">
        <f t="array" ref="M203:Q207">$J$14:$N$18</f>
        <v>0.602311076</v>
      </c>
      <c r="N203" s="8">
        <v>0.3919418073167533</v>
      </c>
      <c r="O203" s="8">
        <v>-0.48389421468512284</v>
      </c>
      <c r="P203" s="8">
        <v>-0.7885378464146406</v>
      </c>
      <c r="Q203" s="9">
        <v>0.743677023526336</v>
      </c>
      <c r="U203" s="2"/>
      <c r="X203" s="34" t="s">
        <v>28</v>
      </c>
      <c r="Y203" s="49">
        <v>0.0</v>
      </c>
      <c r="Z203" s="50">
        <v>-99.0</v>
      </c>
      <c r="AA203" s="50">
        <v>-99.0</v>
      </c>
      <c r="AB203" s="50">
        <v>-99.0</v>
      </c>
      <c r="AC203" s="51">
        <v>-99.0</v>
      </c>
      <c r="AD203" s="57"/>
      <c r="AE203" s="57"/>
    </row>
    <row r="204">
      <c r="B204" s="1"/>
      <c r="C204" s="2"/>
      <c r="D204" s="2"/>
      <c r="E204" s="2"/>
      <c r="F204" s="2"/>
      <c r="G204" s="2"/>
      <c r="H204" s="2"/>
      <c r="L204" s="6" t="s">
        <v>3</v>
      </c>
      <c r="M204" s="11">
        <v>-0.12666791834018415</v>
      </c>
      <c r="N204" s="10">
        <v>0.7077432219287846</v>
      </c>
      <c r="O204" s="10">
        <v>0.3576456907713019</v>
      </c>
      <c r="P204" s="10">
        <v>-0.11609091747919258</v>
      </c>
      <c r="Q204" s="12">
        <v>0.213684671578444</v>
      </c>
      <c r="U204" s="2"/>
      <c r="X204" s="34" t="s">
        <v>31</v>
      </c>
      <c r="Y204" s="55">
        <v>0.0</v>
      </c>
      <c r="Z204" s="56">
        <v>0.0</v>
      </c>
      <c r="AA204" s="57">
        <v>-99.0</v>
      </c>
      <c r="AB204" s="57">
        <v>-99.0</v>
      </c>
      <c r="AC204" s="58">
        <v>-99.0</v>
      </c>
      <c r="AD204" s="57"/>
      <c r="AE204" s="57"/>
    </row>
    <row r="205">
      <c r="B205" s="1"/>
      <c r="C205" s="2"/>
      <c r="D205" s="2"/>
      <c r="E205" s="2"/>
      <c r="F205" s="2"/>
      <c r="G205" s="2"/>
      <c r="H205" s="2"/>
      <c r="I205" s="100" t="s">
        <v>41</v>
      </c>
      <c r="J205" s="100" t="s">
        <v>41</v>
      </c>
      <c r="K205" s="100" t="s">
        <v>41</v>
      </c>
      <c r="L205" s="100" t="s">
        <v>41</v>
      </c>
      <c r="M205" s="11">
        <v>-0.8170491227254827</v>
      </c>
      <c r="N205" s="10">
        <v>1.1812065113373647</v>
      </c>
      <c r="O205" s="10">
        <v>-0.8715015174539364</v>
      </c>
      <c r="P205" s="10">
        <v>0.592896729358582</v>
      </c>
      <c r="Q205" s="12">
        <v>1.4092254924676608</v>
      </c>
      <c r="R205" s="101" t="s">
        <v>8</v>
      </c>
      <c r="S205" s="101" t="s">
        <v>8</v>
      </c>
      <c r="T205" s="101" t="s">
        <v>8</v>
      </c>
      <c r="U205" s="101" t="s">
        <v>8</v>
      </c>
      <c r="X205" s="41"/>
      <c r="Y205" s="55">
        <v>0.0</v>
      </c>
      <c r="Z205" s="56">
        <v>0.0</v>
      </c>
      <c r="AA205" s="56">
        <v>0.0</v>
      </c>
      <c r="AB205" s="57">
        <v>-99.0</v>
      </c>
      <c r="AC205" s="58">
        <v>-99.0</v>
      </c>
      <c r="AD205" s="57"/>
      <c r="AE205" s="57"/>
    </row>
    <row r="206">
      <c r="B206" s="1"/>
      <c r="C206" s="2"/>
      <c r="D206" s="2"/>
      <c r="E206" s="2"/>
      <c r="F206" s="2"/>
      <c r="G206" s="2"/>
      <c r="H206" s="2"/>
      <c r="I206" s="21" t="s">
        <v>4</v>
      </c>
      <c r="L206" s="1"/>
      <c r="M206" s="11">
        <v>0.46499451517565493</v>
      </c>
      <c r="N206" s="10">
        <v>-0.28497097872606425</v>
      </c>
      <c r="O206" s="10">
        <v>0.6515113924424661</v>
      </c>
      <c r="P206" s="10">
        <v>0.9121045396513038</v>
      </c>
      <c r="Q206" s="12">
        <v>0.5718877219783896</v>
      </c>
      <c r="U206" s="21" t="s">
        <v>4</v>
      </c>
      <c r="X206" s="41"/>
      <c r="Y206" s="55">
        <v>0.0</v>
      </c>
      <c r="Z206" s="56">
        <v>0.0</v>
      </c>
      <c r="AA206" s="56">
        <v>0.0</v>
      </c>
      <c r="AB206" s="56">
        <v>0.0</v>
      </c>
      <c r="AC206" s="58">
        <v>-99.0</v>
      </c>
      <c r="AD206" s="57"/>
      <c r="AE206" s="57"/>
    </row>
    <row r="207">
      <c r="B207" s="1"/>
      <c r="C207" s="2"/>
      <c r="D207" s="2"/>
      <c r="E207" s="2"/>
      <c r="F207" s="2"/>
      <c r="G207" s="2"/>
      <c r="H207" s="2"/>
      <c r="I207" s="21" t="s">
        <v>4</v>
      </c>
      <c r="L207" s="1"/>
      <c r="M207" s="13">
        <v>-0.04556458771505738</v>
      </c>
      <c r="N207" s="14">
        <v>-0.7552642420957864</v>
      </c>
      <c r="O207" s="14">
        <v>-0.4383460488493433</v>
      </c>
      <c r="P207" s="14">
        <v>1.3690164148778667</v>
      </c>
      <c r="Q207" s="15">
        <v>0.6921350372977554</v>
      </c>
      <c r="U207" s="21" t="s">
        <v>4</v>
      </c>
      <c r="X207" s="41"/>
      <c r="Y207" s="62">
        <v>0.0</v>
      </c>
      <c r="Z207" s="63">
        <v>0.0</v>
      </c>
      <c r="AA207" s="63">
        <v>0.0</v>
      </c>
      <c r="AB207" s="63">
        <v>0.0</v>
      </c>
      <c r="AC207" s="64">
        <v>0.0</v>
      </c>
      <c r="AD207" s="56"/>
      <c r="AE207" s="56"/>
    </row>
    <row r="208">
      <c r="B208" s="1"/>
      <c r="C208" s="2"/>
      <c r="D208" s="2"/>
      <c r="E208" s="2"/>
      <c r="F208" s="2"/>
      <c r="G208" s="2"/>
      <c r="H208" s="2"/>
      <c r="I208" s="21" t="s">
        <v>4</v>
      </c>
      <c r="J208" s="2"/>
      <c r="K208" s="2"/>
      <c r="L208" s="2"/>
      <c r="M208" s="2"/>
      <c r="N208" s="2"/>
      <c r="O208" s="3"/>
      <c r="P208" s="2"/>
      <c r="Q208" s="2"/>
      <c r="R208" s="2"/>
      <c r="S208" s="2"/>
      <c r="T208" s="2"/>
      <c r="U208" s="21" t="s">
        <v>4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0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B210" s="66" t="s">
        <v>42</v>
      </c>
      <c r="C210" s="103">
        <f t="shared" ref="C210:G210" si="31">NORMINV(rand(),0, 1)</f>
        <v>0.4036142947</v>
      </c>
      <c r="D210" s="104">
        <f t="shared" si="31"/>
        <v>0.9206736959</v>
      </c>
      <c r="E210" s="104">
        <f t="shared" si="31"/>
        <v>-1.316514421</v>
      </c>
      <c r="F210" s="104">
        <f t="shared" si="31"/>
        <v>1.260321441</v>
      </c>
      <c r="G210" s="105">
        <f t="shared" si="31"/>
        <v>-0.3604374982</v>
      </c>
      <c r="H210" s="2"/>
      <c r="I210" s="66" t="s">
        <v>43</v>
      </c>
      <c r="J210" s="106"/>
      <c r="K210" s="107"/>
      <c r="L210" s="107"/>
      <c r="M210" s="107"/>
      <c r="N210" s="108"/>
      <c r="O210" s="102"/>
      <c r="P210" s="2"/>
      <c r="Q210" s="66" t="s">
        <v>44</v>
      </c>
      <c r="R210" s="103">
        <f t="shared" ref="R210:V210" si="32">NORMINV(rand(),0, 1)</f>
        <v>-0.04931638531</v>
      </c>
      <c r="S210" s="104">
        <f t="shared" si="32"/>
        <v>-0.3463419612</v>
      </c>
      <c r="T210" s="104">
        <f t="shared" si="32"/>
        <v>2.111233306</v>
      </c>
      <c r="U210" s="104">
        <f t="shared" si="32"/>
        <v>-1.229929425</v>
      </c>
      <c r="V210" s="105">
        <f t="shared" si="32"/>
        <v>-0.3262962354</v>
      </c>
      <c r="W210" s="2"/>
      <c r="X210" s="66" t="s">
        <v>45</v>
      </c>
      <c r="Y210" s="106"/>
      <c r="Z210" s="107"/>
      <c r="AA210" s="107"/>
      <c r="AB210" s="107"/>
      <c r="AC210" s="108"/>
      <c r="AD210" s="109"/>
      <c r="AE210" s="109"/>
    </row>
    <row r="211">
      <c r="B211" s="66" t="s">
        <v>7</v>
      </c>
      <c r="C211" s="110">
        <f t="shared" ref="C211:G211" si="33">NORMINV(rand(),0, 1)</f>
        <v>0.3489848033</v>
      </c>
      <c r="D211" s="85">
        <f t="shared" si="33"/>
        <v>-0.8894767339</v>
      </c>
      <c r="E211" s="85">
        <f t="shared" si="33"/>
        <v>-0.2670382377</v>
      </c>
      <c r="F211" s="85">
        <f t="shared" si="33"/>
        <v>1.21054965</v>
      </c>
      <c r="G211" s="111">
        <f t="shared" si="33"/>
        <v>0.4233065598</v>
      </c>
      <c r="H211" s="2"/>
      <c r="I211" s="2"/>
      <c r="J211" s="112"/>
      <c r="K211" s="109"/>
      <c r="L211" s="109"/>
      <c r="M211" s="109"/>
      <c r="N211" s="113"/>
      <c r="O211" s="102"/>
      <c r="P211" s="2"/>
      <c r="Q211" s="66" t="s">
        <v>7</v>
      </c>
      <c r="R211" s="110">
        <f t="shared" ref="R211:V211" si="34">NORMINV(rand(),0, 1)</f>
        <v>0.03987351202</v>
      </c>
      <c r="S211" s="85">
        <f t="shared" si="34"/>
        <v>0.7005000006</v>
      </c>
      <c r="T211" s="85">
        <f t="shared" si="34"/>
        <v>0.1912398858</v>
      </c>
      <c r="U211" s="85">
        <f t="shared" si="34"/>
        <v>2.30159197</v>
      </c>
      <c r="V211" s="111">
        <f t="shared" si="34"/>
        <v>-1.278373795</v>
      </c>
      <c r="W211" s="2"/>
      <c r="X211" s="2"/>
      <c r="Y211" s="112"/>
      <c r="Z211" s="109"/>
      <c r="AA211" s="109"/>
      <c r="AB211" s="109"/>
      <c r="AC211" s="113"/>
      <c r="AD211" s="109"/>
      <c r="AE211" s="109"/>
    </row>
    <row r="212">
      <c r="B212" s="41"/>
      <c r="C212" s="110">
        <f t="shared" ref="C212:G212" si="35">NORMINV(rand(),0, 1)</f>
        <v>0.8232610531</v>
      </c>
      <c r="D212" s="85">
        <f t="shared" si="35"/>
        <v>-2.151372353</v>
      </c>
      <c r="E212" s="85">
        <f t="shared" si="35"/>
        <v>-0.1175249257</v>
      </c>
      <c r="F212" s="85">
        <f t="shared" si="35"/>
        <v>-0.3552578412</v>
      </c>
      <c r="G212" s="111">
        <f t="shared" si="35"/>
        <v>-0.02312756865</v>
      </c>
      <c r="H212" s="67" t="s">
        <v>8</v>
      </c>
      <c r="I212" s="67" t="s">
        <v>8</v>
      </c>
      <c r="J212" s="112"/>
      <c r="K212" s="109"/>
      <c r="L212" s="109"/>
      <c r="M212" s="109"/>
      <c r="N212" s="113"/>
      <c r="O212" s="102"/>
      <c r="P212" s="2"/>
      <c r="Q212" s="41"/>
      <c r="R212" s="110">
        <f t="shared" ref="R212:V212" si="36">NORMINV(rand(),0, 1)</f>
        <v>-0.2549009224</v>
      </c>
      <c r="S212" s="85">
        <f t="shared" si="36"/>
        <v>0.4718337887</v>
      </c>
      <c r="T212" s="85">
        <f t="shared" si="36"/>
        <v>0.5632868311</v>
      </c>
      <c r="U212" s="85">
        <f t="shared" si="36"/>
        <v>-0.8154340353</v>
      </c>
      <c r="V212" s="111">
        <f t="shared" si="36"/>
        <v>-1.464674051</v>
      </c>
      <c r="W212" s="67" t="s">
        <v>8</v>
      </c>
      <c r="X212" s="67" t="s">
        <v>8</v>
      </c>
      <c r="Y212" s="112"/>
      <c r="Z212" s="109"/>
      <c r="AA212" s="109"/>
      <c r="AB212" s="109"/>
      <c r="AC212" s="113"/>
      <c r="AD212" s="109"/>
      <c r="AE212" s="109"/>
    </row>
    <row r="213">
      <c r="B213" s="41"/>
      <c r="C213" s="110">
        <f t="shared" ref="C213:G213" si="37">NORMINV(rand(),0, 1)</f>
        <v>1.10939412</v>
      </c>
      <c r="D213" s="85">
        <f t="shared" si="37"/>
        <v>0.4608623909</v>
      </c>
      <c r="E213" s="85">
        <f t="shared" si="37"/>
        <v>-1.609382625</v>
      </c>
      <c r="F213" s="85">
        <f t="shared" si="37"/>
        <v>0.05582078253</v>
      </c>
      <c r="G213" s="111">
        <f t="shared" si="37"/>
        <v>1.14203655</v>
      </c>
      <c r="H213" s="2"/>
      <c r="I213" s="2"/>
      <c r="J213" s="112"/>
      <c r="K213" s="109"/>
      <c r="L213" s="109"/>
      <c r="M213" s="109"/>
      <c r="N213" s="113"/>
      <c r="O213" s="102"/>
      <c r="P213" s="2"/>
      <c r="Q213" s="41"/>
      <c r="R213" s="110">
        <f t="shared" ref="R213:V213" si="38">NORMINV(rand(),0, 1)</f>
        <v>0.7103823799</v>
      </c>
      <c r="S213" s="85">
        <f t="shared" si="38"/>
        <v>0.4487609528</v>
      </c>
      <c r="T213" s="85">
        <f t="shared" si="38"/>
        <v>-1.008348545</v>
      </c>
      <c r="U213" s="85">
        <f t="shared" si="38"/>
        <v>-0.9242684906</v>
      </c>
      <c r="V213" s="111">
        <f t="shared" si="38"/>
        <v>-0.8321556536</v>
      </c>
      <c r="W213" s="2"/>
      <c r="X213" s="2"/>
      <c r="Y213" s="112"/>
      <c r="Z213" s="109"/>
      <c r="AA213" s="109"/>
      <c r="AB213" s="109"/>
      <c r="AC213" s="113"/>
      <c r="AD213" s="109"/>
      <c r="AE213" s="109"/>
    </row>
    <row r="214">
      <c r="B214" s="41"/>
      <c r="C214" s="114">
        <f t="shared" ref="C214:G214" si="39">NORMINV(rand(),0, 1)</f>
        <v>-0.7959852019</v>
      </c>
      <c r="D214" s="115">
        <f t="shared" si="39"/>
        <v>-1.313058504</v>
      </c>
      <c r="E214" s="115">
        <f t="shared" si="39"/>
        <v>-0.6719901562</v>
      </c>
      <c r="F214" s="115">
        <f t="shared" si="39"/>
        <v>-1.441803878</v>
      </c>
      <c r="G214" s="116">
        <f t="shared" si="39"/>
        <v>-1.156724902</v>
      </c>
      <c r="H214" s="2"/>
      <c r="J214" s="117"/>
      <c r="K214" s="118"/>
      <c r="L214" s="118"/>
      <c r="M214" s="118"/>
      <c r="N214" s="119"/>
      <c r="O214" s="102"/>
      <c r="P214" s="2"/>
      <c r="Q214" s="41"/>
      <c r="R214" s="114">
        <f t="shared" ref="R214:V214" si="40">NORMINV(rand(),0, 1)</f>
        <v>-0.3678547702</v>
      </c>
      <c r="S214" s="115">
        <f t="shared" si="40"/>
        <v>1.30792859</v>
      </c>
      <c r="T214" s="115">
        <f t="shared" si="40"/>
        <v>0.7814120121</v>
      </c>
      <c r="U214" s="115">
        <f t="shared" si="40"/>
        <v>-0.1972201387</v>
      </c>
      <c r="V214" s="116">
        <f t="shared" si="40"/>
        <v>-0.6246361212</v>
      </c>
      <c r="W214" s="2"/>
      <c r="Y214" s="117"/>
      <c r="Z214" s="118"/>
      <c r="AA214" s="118"/>
      <c r="AB214" s="118"/>
      <c r="AC214" s="119"/>
      <c r="AD214" s="109"/>
      <c r="AE214" s="109"/>
    </row>
    <row r="215">
      <c r="B215" s="1"/>
      <c r="C215" s="2"/>
      <c r="D215" s="2"/>
      <c r="E215" s="2"/>
      <c r="F215" s="2"/>
      <c r="G215" s="2"/>
      <c r="H215" s="2"/>
      <c r="O215" s="102"/>
      <c r="P215" s="2"/>
      <c r="Q215" s="1"/>
      <c r="R215" s="2"/>
      <c r="S215" s="2"/>
      <c r="T215" s="2"/>
      <c r="U215" s="2"/>
      <c r="V215" s="2"/>
      <c r="W215" s="2"/>
    </row>
    <row r="216">
      <c r="B216" s="66" t="s">
        <v>46</v>
      </c>
      <c r="C216" s="103">
        <f t="shared" ref="C216:G216" si="41">NORMINV(rand(),0, 1)</f>
        <v>1.010824862</v>
      </c>
      <c r="D216" s="104">
        <f t="shared" si="41"/>
        <v>-0.05866664524</v>
      </c>
      <c r="E216" s="104">
        <f t="shared" si="41"/>
        <v>-1.07517023</v>
      </c>
      <c r="F216" s="104">
        <f t="shared" si="41"/>
        <v>-0.4871434475</v>
      </c>
      <c r="G216" s="105">
        <f t="shared" si="41"/>
        <v>-0.4640923149</v>
      </c>
      <c r="H216" s="2"/>
      <c r="I216" s="66" t="s">
        <v>47</v>
      </c>
      <c r="J216" s="106">
        <f t="array" ref="J216:N220">MMULT(C216:G220,$M$203:$Q$207)</f>
        <v>1.289356229</v>
      </c>
      <c r="K216" s="107">
        <v>-0.42600039818445656</v>
      </c>
      <c r="L216" s="107">
        <v>0.31295183793893966</v>
      </c>
      <c r="M216" s="107">
        <v>-2.5074036551843824</v>
      </c>
      <c r="N216" s="108">
        <v>-1.3757721430470238</v>
      </c>
      <c r="O216" s="102"/>
      <c r="P216" s="2"/>
      <c r="Q216" s="66" t="s">
        <v>48</v>
      </c>
      <c r="R216" s="103">
        <f t="shared" ref="R216:V216" si="42">NORMINV(rand(),0, 1)</f>
        <v>0.6511605088</v>
      </c>
      <c r="S216" s="104">
        <f t="shared" si="42"/>
        <v>-1.194293363</v>
      </c>
      <c r="T216" s="104">
        <f t="shared" si="42"/>
        <v>0.06123213469</v>
      </c>
      <c r="U216" s="104">
        <f t="shared" si="42"/>
        <v>0.1233757198</v>
      </c>
      <c r="V216" s="105">
        <f t="shared" si="42"/>
        <v>0.01529053673</v>
      </c>
      <c r="W216" s="2"/>
      <c r="X216" s="66" t="s">
        <v>49</v>
      </c>
      <c r="Y216" s="106">
        <f t="array" ref="Y216:AC220">MMULT(R216:V220,$M$203:$Q$207)</f>
        <v>0.5501225049</v>
      </c>
      <c r="Z216" s="107">
        <v>-0.5644151049542999</v>
      </c>
      <c r="AA216" s="107">
        <v>-0.7219124354067106</v>
      </c>
      <c r="AB216" s="107">
        <v>-0.20504921071340654</v>
      </c>
      <c r="AC216" s="108">
        <v>0.3964809847434421</v>
      </c>
      <c r="AD216" s="109"/>
      <c r="AE216" s="109"/>
    </row>
    <row r="217">
      <c r="B217" s="66" t="s">
        <v>12</v>
      </c>
      <c r="C217" s="110">
        <f t="shared" ref="C217:G217" si="43">NORMINV(rand(),0, 1)</f>
        <v>-0.03434737476</v>
      </c>
      <c r="D217" s="85">
        <f t="shared" si="43"/>
        <v>-1.66499167</v>
      </c>
      <c r="E217" s="85">
        <f t="shared" si="43"/>
        <v>0.9542686762</v>
      </c>
      <c r="F217" s="85">
        <f t="shared" si="43"/>
        <v>0.3001659189</v>
      </c>
      <c r="G217" s="111">
        <f t="shared" si="43"/>
        <v>-1.129010294</v>
      </c>
      <c r="H217" s="2"/>
      <c r="I217" s="2"/>
      <c r="J217" s="112">
        <v>-0.39845276556632214</v>
      </c>
      <c r="K217" s="109">
        <v>0.7025021608437176</v>
      </c>
      <c r="L217" s="109">
        <v>-0.720044482197362</v>
      </c>
      <c r="M217" s="109">
        <v>-0.48569353499800116</v>
      </c>
      <c r="N217" s="113">
        <v>0.3536868152498437</v>
      </c>
      <c r="O217" s="102"/>
      <c r="P217" s="2"/>
      <c r="Q217" s="66" t="s">
        <v>12</v>
      </c>
      <c r="R217" s="110">
        <f t="shared" ref="R217:V217" si="44">NORMINV(rand(),0, 1)</f>
        <v>0.116815318</v>
      </c>
      <c r="S217" s="85">
        <f t="shared" si="44"/>
        <v>0.09718432993</v>
      </c>
      <c r="T217" s="85">
        <f t="shared" si="44"/>
        <v>0.2241860741</v>
      </c>
      <c r="U217" s="85">
        <f t="shared" si="44"/>
        <v>-1.082513438</v>
      </c>
      <c r="V217" s="111">
        <f t="shared" si="44"/>
        <v>0.3035452954</v>
      </c>
      <c r="W217" s="2"/>
      <c r="X217" s="2"/>
      <c r="Y217" s="112">
        <v>-0.6423157397393864</v>
      </c>
      <c r="Z217" s="109">
        <v>0.458604414598973</v>
      </c>
      <c r="AA217" s="109">
        <v>-1.0554749219336246</v>
      </c>
      <c r="AB217" s="109">
        <v>-0.5422832564476419</v>
      </c>
      <c r="AC217" s="113">
        <v>0.014586590331412852</v>
      </c>
      <c r="AD217" s="109"/>
      <c r="AE217" s="109"/>
    </row>
    <row r="218">
      <c r="B218" s="41"/>
      <c r="C218" s="110">
        <f t="shared" ref="C218:G218" si="45">NORMINV(rand(),0, 1)</f>
        <v>-0.8332016456</v>
      </c>
      <c r="D218" s="85">
        <f t="shared" si="45"/>
        <v>-1.735554969</v>
      </c>
      <c r="E218" s="85">
        <f t="shared" si="45"/>
        <v>-0.4452463045</v>
      </c>
      <c r="F218" s="85">
        <f t="shared" si="45"/>
        <v>-1.393214487</v>
      </c>
      <c r="G218" s="111">
        <f t="shared" si="45"/>
        <v>0.2573811067</v>
      </c>
      <c r="H218" s="67" t="s">
        <v>8</v>
      </c>
      <c r="I218" s="67" t="s">
        <v>8</v>
      </c>
      <c r="J218" s="112">
        <v>-0.5777839012182178</v>
      </c>
      <c r="K218" s="109">
        <v>-1.8781867087621622</v>
      </c>
      <c r="L218" s="109">
        <v>-0.8500165714972059</v>
      </c>
      <c r="M218" s="109">
        <v>-0.32389017647247775</v>
      </c>
      <c r="N218" s="113">
        <v>-2.2365666335795336</v>
      </c>
      <c r="O218" s="102"/>
      <c r="P218" s="2"/>
      <c r="Q218" s="41"/>
      <c r="R218" s="110">
        <f t="shared" ref="R218:V218" si="46">NORMINV(rand(),0, 1)</f>
        <v>-0.04380245825</v>
      </c>
      <c r="S218" s="85">
        <f t="shared" si="46"/>
        <v>0.1832184984</v>
      </c>
      <c r="T218" s="85">
        <f t="shared" si="46"/>
        <v>-2.44554033</v>
      </c>
      <c r="U218" s="85">
        <f t="shared" si="46"/>
        <v>-0.7598788725</v>
      </c>
      <c r="V218" s="111">
        <f t="shared" si="46"/>
        <v>0.7696151018</v>
      </c>
      <c r="W218" s="67" t="s">
        <v>8</v>
      </c>
      <c r="X218" s="67" t="s">
        <v>8</v>
      </c>
      <c r="Y218" s="112">
        <v>1.5601292665471267</v>
      </c>
      <c r="Z218" s="109">
        <v>-3.1409038657987125</v>
      </c>
      <c r="AA218" s="109">
        <v>1.385587689408846</v>
      </c>
      <c r="AB218" s="109">
        <v>-1.0761562321117222</v>
      </c>
      <c r="AC218" s="113">
        <v>-3.3416294925611862</v>
      </c>
      <c r="AD218" s="109"/>
      <c r="AE218" s="109"/>
    </row>
    <row r="219">
      <c r="B219" s="41"/>
      <c r="C219" s="110">
        <f t="shared" ref="C219:G219" si="47">NORMINV(rand(),0, 1)</f>
        <v>1.460217504</v>
      </c>
      <c r="D219" s="85">
        <f t="shared" si="47"/>
        <v>1.5116895</v>
      </c>
      <c r="E219" s="85">
        <f t="shared" si="47"/>
        <v>-0.3686254554</v>
      </c>
      <c r="F219" s="85">
        <f t="shared" si="47"/>
        <v>-2.27260295</v>
      </c>
      <c r="G219" s="111">
        <f t="shared" si="47"/>
        <v>-0.5481480348</v>
      </c>
      <c r="H219" s="2"/>
      <c r="I219" s="2"/>
      <c r="J219" s="112">
        <v>-0.04256404906907352</v>
      </c>
      <c r="K219" s="109">
        <v>2.268407993501677</v>
      </c>
      <c r="L219" s="109">
        <v>-1.0850321102067364</v>
      </c>
      <c r="M219" s="109">
        <v>-4.368762138500713</v>
      </c>
      <c r="N219" s="113">
        <v>-0.7895874923591535</v>
      </c>
      <c r="O219" s="102"/>
      <c r="P219" s="2"/>
      <c r="Q219" s="41"/>
      <c r="R219" s="110">
        <f t="shared" ref="R219:V219" si="48">NORMINV(rand(),0, 1)</f>
        <v>-0.6466856602</v>
      </c>
      <c r="S219" s="85">
        <f t="shared" si="48"/>
        <v>-0.192060834</v>
      </c>
      <c r="T219" s="85">
        <f t="shared" si="48"/>
        <v>0.7589104811</v>
      </c>
      <c r="U219" s="85">
        <f t="shared" si="48"/>
        <v>-1.567726387</v>
      </c>
      <c r="V219" s="111">
        <f t="shared" si="48"/>
        <v>-1.369088754</v>
      </c>
      <c r="W219" s="2"/>
      <c r="X219" s="2"/>
      <c r="Y219" s="112">
        <v>-1.6518473392176332</v>
      </c>
      <c r="Z219" s="109">
        <v>1.987817404946167</v>
      </c>
      <c r="AA219" s="109">
        <v>-0.8384108713482178</v>
      </c>
      <c r="AB219" s="109">
        <v>-2.3220471538317264</v>
      </c>
      <c r="AC219" s="113">
        <v>-1.2966474946886095</v>
      </c>
      <c r="AD219" s="109"/>
      <c r="AE219" s="109"/>
    </row>
    <row r="220">
      <c r="B220" s="41"/>
      <c r="C220" s="114">
        <f t="shared" ref="C220:G220" si="49">NORMINV(rand(),0, 1)</f>
        <v>-1.299726317</v>
      </c>
      <c r="D220" s="115">
        <f t="shared" si="49"/>
        <v>0.5663501762</v>
      </c>
      <c r="E220" s="115">
        <f t="shared" si="49"/>
        <v>-0.7211880288</v>
      </c>
      <c r="F220" s="115">
        <f t="shared" si="49"/>
        <v>0.8121703299</v>
      </c>
      <c r="G220" s="116">
        <f t="shared" si="49"/>
        <v>-1.568532428</v>
      </c>
      <c r="H220" s="2"/>
      <c r="J220" s="117">
        <v>0.18379237379465618</v>
      </c>
      <c r="K220" s="118">
        <v>-0.007247097390610913</v>
      </c>
      <c r="L220" s="118">
        <v>2.6766974218981385</v>
      </c>
      <c r="M220" s="118">
        <v>-0.8750171400390083</v>
      </c>
      <c r="N220" s="119">
        <v>-2.4830388135017367</v>
      </c>
      <c r="O220" s="102"/>
      <c r="P220" s="2"/>
      <c r="Q220" s="41"/>
      <c r="R220" s="114">
        <f t="shared" ref="R220:V220" si="50">NORMINV(rand(),0, 1)</f>
        <v>0.4946412973</v>
      </c>
      <c r="S220" s="115">
        <f t="shared" si="50"/>
        <v>-0.618895228</v>
      </c>
      <c r="T220" s="115">
        <f t="shared" si="50"/>
        <v>-1.100963902</v>
      </c>
      <c r="U220" s="115">
        <f t="shared" si="50"/>
        <v>-0.7270758879</v>
      </c>
      <c r="V220" s="116">
        <f t="shared" si="50"/>
        <v>-0.8944166608</v>
      </c>
      <c r="W220" s="2"/>
      <c r="Y220" s="117">
        <v>0.9785311191798333</v>
      </c>
      <c r="Z220" s="118">
        <v>-0.661897580056085</v>
      </c>
      <c r="AA220" s="118">
        <v>0.4171582233238649</v>
      </c>
      <c r="AB220" s="118">
        <v>-2.85859347371565</v>
      </c>
      <c r="AC220" s="119">
        <v>-2.3507643354819874</v>
      </c>
      <c r="AD220" s="109"/>
      <c r="AE220" s="109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02"/>
      <c r="P221" s="2"/>
      <c r="Q221" s="1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B222" s="66" t="s">
        <v>50</v>
      </c>
      <c r="C222" s="120">
        <f t="shared" ref="C222:G222" si="51">NORMINV(rand(),0, 1)</f>
        <v>-0.333194116</v>
      </c>
      <c r="D222" s="121">
        <f t="shared" si="51"/>
        <v>1.62692268</v>
      </c>
      <c r="E222" s="122">
        <f t="shared" si="51"/>
        <v>0.3901896736</v>
      </c>
      <c r="F222" s="123">
        <f t="shared" si="51"/>
        <v>0.5783373353</v>
      </c>
      <c r="G222" s="124">
        <f t="shared" si="51"/>
        <v>-0.6738369097</v>
      </c>
      <c r="H222" s="2"/>
      <c r="I222" s="66" t="s">
        <v>51</v>
      </c>
      <c r="J222" s="125">
        <f t="array" ref="J222:N226">MMULT(C222:G226,$M$203:$Q$207)</f>
        <v>-0.4259427564</v>
      </c>
      <c r="K222" s="126">
        <v>1.8258609450139696</v>
      </c>
      <c r="L222" s="127">
        <v>1.075208807761741</v>
      </c>
      <c r="M222" s="128">
        <v>-0.08978227594860588</v>
      </c>
      <c r="N222" s="129">
        <v>0.5140827517386024</v>
      </c>
      <c r="O222" s="102"/>
      <c r="P222" s="2"/>
      <c r="Q222" s="66" t="s">
        <v>52</v>
      </c>
      <c r="R222" s="120">
        <f t="shared" ref="R222:V222" si="52">NORMINV(rand(),0, 1)</f>
        <v>0.1121384685</v>
      </c>
      <c r="S222" s="121">
        <f t="shared" si="52"/>
        <v>-1.199574017</v>
      </c>
      <c r="T222" s="122">
        <f t="shared" si="52"/>
        <v>0.215993463</v>
      </c>
      <c r="U222" s="123">
        <f t="shared" si="52"/>
        <v>-0.8188662716</v>
      </c>
      <c r="V222" s="124">
        <f t="shared" si="52"/>
        <v>-1.525970062</v>
      </c>
      <c r="W222" s="2"/>
      <c r="X222" s="66" t="s">
        <v>53</v>
      </c>
      <c r="Y222" s="125">
        <f t="array" ref="Y222:AC226">MMULT(R222:V226,$M$203:$Q$207)</f>
        <v>-0.2682256124</v>
      </c>
      <c r="Z222" s="126">
        <v>0.8359580046128553</v>
      </c>
      <c r="AA222" s="127">
        <v>-0.5361220222291311</v>
      </c>
      <c r="AB222" s="128">
        <v>-2.6570736676638553</v>
      </c>
      <c r="AC222" s="129">
        <v>-1.3930291954576426</v>
      </c>
      <c r="AD222" s="131"/>
      <c r="AE222" s="131"/>
    </row>
    <row r="223">
      <c r="B223" s="66" t="s">
        <v>16</v>
      </c>
      <c r="C223" s="130">
        <f t="shared" ref="C223:G223" si="53">NORMINV(rand(),0, 1)</f>
        <v>-0.2420990205</v>
      </c>
      <c r="D223" s="132">
        <f t="shared" si="53"/>
        <v>0.05651713172</v>
      </c>
      <c r="E223" s="133">
        <f t="shared" si="53"/>
        <v>0.1845436977</v>
      </c>
      <c r="F223" s="134">
        <f t="shared" si="53"/>
        <v>0.1759912741</v>
      </c>
      <c r="G223" s="135">
        <f t="shared" si="53"/>
        <v>0.1683682638</v>
      </c>
      <c r="H223" s="2"/>
      <c r="I223" s="41"/>
      <c r="J223" s="136">
        <v>-0.22959574862170443</v>
      </c>
      <c r="K223" s="137">
        <v>-0.014219828257167222</v>
      </c>
      <c r="L223" s="138">
        <v>0.0173900683129999</v>
      </c>
      <c r="M223" s="139">
        <v>0.6847798263140564</v>
      </c>
      <c r="N223" s="140">
        <v>0.30927787233360676</v>
      </c>
      <c r="O223" s="102"/>
      <c r="P223" s="2"/>
      <c r="Q223" s="66" t="s">
        <v>16</v>
      </c>
      <c r="R223" s="130">
        <f t="shared" ref="R223:V223" si="54">NORMINV(rand(),0, 1)</f>
        <v>0.1195924352</v>
      </c>
      <c r="S223" s="132">
        <f t="shared" si="54"/>
        <v>-2.200392163</v>
      </c>
      <c r="T223" s="133">
        <f t="shared" si="54"/>
        <v>-1.809119333</v>
      </c>
      <c r="U223" s="134">
        <f t="shared" si="54"/>
        <v>-0.0868397548</v>
      </c>
      <c r="V223" s="135">
        <f t="shared" si="54"/>
        <v>2.100181553</v>
      </c>
      <c r="W223" s="2"/>
      <c r="X223" s="41"/>
      <c r="Y223" s="136">
        <v>1.6928163910759475</v>
      </c>
      <c r="Z223" s="137">
        <v>-5.208828119437026</v>
      </c>
      <c r="AA223" s="138">
        <v>-0.2453639937975346</v>
      </c>
      <c r="AB223" s="139">
        <v>1.8844975342050416</v>
      </c>
      <c r="AC223" s="140">
        <v>-1.5267623656874278</v>
      </c>
      <c r="AD223" s="141"/>
      <c r="AE223" s="141"/>
    </row>
    <row r="224">
      <c r="B224" s="41"/>
      <c r="C224" s="142">
        <f t="shared" ref="C224:G224" si="55">NORMINV(rand(),0, 1)</f>
        <v>1.668562004</v>
      </c>
      <c r="D224" s="143">
        <f t="shared" si="55"/>
        <v>1.150097813</v>
      </c>
      <c r="E224" s="88">
        <f t="shared" si="55"/>
        <v>-0.5249416894</v>
      </c>
      <c r="F224" s="144">
        <f t="shared" si="55"/>
        <v>0.5368213998</v>
      </c>
      <c r="G224" s="145">
        <f t="shared" si="55"/>
        <v>0.8205475574</v>
      </c>
      <c r="H224" s="67" t="s">
        <v>8</v>
      </c>
      <c r="I224" s="67" t="s">
        <v>8</v>
      </c>
      <c r="J224" s="146">
        <v>1.5004471224002829</v>
      </c>
      <c r="K224" s="147">
        <v>0.07517984855769466</v>
      </c>
      <c r="L224" s="148">
        <v>0.05146898294417218</v>
      </c>
      <c r="M224" s="149">
        <v>-0.1474960992898937</v>
      </c>
      <c r="N224" s="150">
        <v>1.6217995690148297</v>
      </c>
      <c r="O224" s="102"/>
      <c r="P224" s="2"/>
      <c r="Q224" s="41"/>
      <c r="R224" s="142">
        <f t="shared" ref="R224:V224" si="56">NORMINV(rand(),0, 1)</f>
        <v>0.3658872113</v>
      </c>
      <c r="S224" s="143">
        <f t="shared" si="56"/>
        <v>-0.5708204543</v>
      </c>
      <c r="T224" s="88">
        <f t="shared" si="56"/>
        <v>0.0209457051</v>
      </c>
      <c r="U224" s="144">
        <f t="shared" si="56"/>
        <v>-0.498739858</v>
      </c>
      <c r="V224" s="145">
        <f t="shared" si="56"/>
        <v>-0.08900961837</v>
      </c>
      <c r="W224" s="67" t="s">
        <v>8</v>
      </c>
      <c r="X224" s="67" t="s">
        <v>8</v>
      </c>
      <c r="Y224" s="146">
        <v>0.04771327675511256</v>
      </c>
      <c r="Z224" s="147">
        <v>-0.026494441937756005</v>
      </c>
      <c r="AA224" s="148">
        <v>-0.6853740790908474</v>
      </c>
      <c r="AB224" s="149">
        <v>-0.7865887205683363</v>
      </c>
      <c r="AC224" s="150">
        <v>-0.1671863242528684</v>
      </c>
      <c r="AD224" s="151"/>
      <c r="AE224" s="151"/>
    </row>
    <row r="225">
      <c r="B225" s="41"/>
      <c r="C225" s="152">
        <f t="shared" ref="C225:G225" si="57">NORMINV(rand(),0, 1)</f>
        <v>-1.718986503</v>
      </c>
      <c r="D225" s="92">
        <f t="shared" si="57"/>
        <v>0.2185707852</v>
      </c>
      <c r="E225" s="153">
        <f t="shared" si="57"/>
        <v>0.07785523438</v>
      </c>
      <c r="F225" s="154">
        <f t="shared" si="57"/>
        <v>0.5264284527</v>
      </c>
      <c r="G225" s="155">
        <f t="shared" si="57"/>
        <v>-2.379557181</v>
      </c>
      <c r="H225" s="2"/>
      <c r="I225" s="41"/>
      <c r="J225" s="156">
        <v>-0.7734521824976387</v>
      </c>
      <c r="K225" s="157">
        <v>1.2200900442050595</v>
      </c>
      <c r="L225" s="158">
        <v>2.2281711910547806</v>
      </c>
      <c r="M225" s="159">
        <v>-1.4012231134366118</v>
      </c>
      <c r="N225" s="160">
        <v>-2.467866888184323</v>
      </c>
      <c r="O225" s="102"/>
      <c r="P225" s="2"/>
      <c r="Q225" s="41"/>
      <c r="R225" s="152">
        <f t="shared" ref="R225:V225" si="58">NORMINV(rand(),0, 1)</f>
        <v>0.8208163599</v>
      </c>
      <c r="S225" s="92">
        <f t="shared" si="58"/>
        <v>0.6471180719</v>
      </c>
      <c r="T225" s="153">
        <f t="shared" si="58"/>
        <v>1.672322683</v>
      </c>
      <c r="U225" s="154">
        <f t="shared" si="58"/>
        <v>-0.5874596989</v>
      </c>
      <c r="V225" s="155">
        <f t="shared" si="58"/>
        <v>-0.06164401993</v>
      </c>
      <c r="W225" s="2"/>
      <c r="X225" s="41"/>
      <c r="Y225" s="156">
        <v>-1.2243088483700848</v>
      </c>
      <c r="Z225" s="157">
        <v>2.969030607807845</v>
      </c>
      <c r="AA225" s="158">
        <v>-1.9788963273699818</v>
      </c>
      <c r="AB225" s="159">
        <v>-0.3510709798617948</v>
      </c>
      <c r="AC225" s="160">
        <v>2.7267542609878057</v>
      </c>
      <c r="AD225" s="161"/>
      <c r="AE225" s="161"/>
    </row>
    <row r="226">
      <c r="B226" s="41"/>
      <c r="C226" s="162">
        <f t="shared" ref="C226:G226" si="59">NORMINV(rand(),0, 1)</f>
        <v>-0.7612039038</v>
      </c>
      <c r="D226" s="163">
        <f t="shared" si="59"/>
        <v>0.2027947439</v>
      </c>
      <c r="E226" s="164">
        <f t="shared" si="59"/>
        <v>-0.531774728</v>
      </c>
      <c r="F226" s="165">
        <f t="shared" si="59"/>
        <v>0.9821902244</v>
      </c>
      <c r="G226" s="166">
        <f t="shared" si="59"/>
        <v>-1.415084851</v>
      </c>
      <c r="H226" s="2"/>
      <c r="I226" s="41"/>
      <c r="J226" s="167">
        <v>0.4715077696448079</v>
      </c>
      <c r="K226" s="168">
        <v>0.005910478512489492</v>
      </c>
      <c r="L226" s="169">
        <v>2.164518287942691</v>
      </c>
      <c r="M226" s="170">
        <v>-0.7800062651349682</v>
      </c>
      <c r="N226" s="171">
        <v>-1.689873504378709</v>
      </c>
      <c r="O226" s="102"/>
      <c r="P226" s="2"/>
      <c r="Q226" s="41"/>
      <c r="R226" s="162">
        <f t="shared" ref="R226:V226" si="60">NORMINV(rand(),0, 1)</f>
        <v>2.237406909</v>
      </c>
      <c r="S226" s="163">
        <f t="shared" si="60"/>
        <v>-0.8714840266</v>
      </c>
      <c r="T226" s="164">
        <f t="shared" si="60"/>
        <v>-0.7071595621</v>
      </c>
      <c r="U226" s="165">
        <f t="shared" si="60"/>
        <v>0.1938516474</v>
      </c>
      <c r="V226" s="166">
        <f t="shared" si="60"/>
        <v>0.09771942727</v>
      </c>
      <c r="W226" s="2"/>
      <c r="X226" s="41"/>
      <c r="Y226" s="167">
        <v>2.121475537718393</v>
      </c>
      <c r="Z226" s="168">
        <v>-0.7042011673365351</v>
      </c>
      <c r="AA226" s="169">
        <v>-0.6945985026477335</v>
      </c>
      <c r="AB226" s="170">
        <v>-1.7717887695618888</v>
      </c>
      <c r="AC226" s="171">
        <v>0.6596344669466199</v>
      </c>
      <c r="AD226" s="172"/>
      <c r="AE226" s="17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02"/>
      <c r="P227" s="2"/>
      <c r="Q227" s="1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B228" s="1"/>
      <c r="C228" s="2"/>
      <c r="D228" s="2"/>
      <c r="E228" s="2"/>
      <c r="L228" s="2"/>
      <c r="M228" s="2"/>
      <c r="N228" s="2"/>
      <c r="O228" s="102"/>
      <c r="P228" s="2"/>
      <c r="Q228" s="1"/>
      <c r="R228" s="2"/>
      <c r="S228" s="2"/>
      <c r="T228" s="2"/>
      <c r="AA228" s="2"/>
      <c r="AB228" s="2"/>
      <c r="AC228" s="2"/>
      <c r="AD228" s="2"/>
      <c r="AE228" s="2"/>
    </row>
    <row r="229">
      <c r="B229" s="1"/>
      <c r="C229" s="2"/>
      <c r="D229" s="2"/>
      <c r="E229" s="2"/>
      <c r="F229" s="68" t="s">
        <v>22</v>
      </c>
      <c r="G229" s="7" t="str">
        <f t="array" ref="G229">MMULT(TRANSPOSE(J216:N220),J210:N214) / 5^0.5</f>
        <v>#VALUE!</v>
      </c>
      <c r="H229" s="8"/>
      <c r="I229" s="8"/>
      <c r="J229" s="8"/>
      <c r="K229" s="9"/>
      <c r="L229" s="2"/>
      <c r="M229" s="2"/>
      <c r="N229" s="2"/>
      <c r="O229" s="102"/>
      <c r="P229" s="2"/>
      <c r="Q229" s="1"/>
      <c r="R229" s="2"/>
      <c r="S229" s="2"/>
      <c r="T229" s="2"/>
      <c r="U229" s="68" t="s">
        <v>22</v>
      </c>
      <c r="V229" s="7" t="str">
        <f t="array" ref="V229">MMULT(TRANSPOSE(Y216:AC220),Y210:AC214) / 5^0.5</f>
        <v>#VALUE!</v>
      </c>
      <c r="W229" s="8"/>
      <c r="X229" s="8"/>
      <c r="Y229" s="8"/>
      <c r="Z229" s="9"/>
      <c r="AA229" s="2"/>
      <c r="AB229" s="2"/>
      <c r="AC229" s="2"/>
      <c r="AD229" s="2"/>
      <c r="AE229" s="2"/>
    </row>
    <row r="230">
      <c r="B230" s="1"/>
      <c r="C230" s="2"/>
      <c r="D230" s="2"/>
      <c r="E230" s="2"/>
      <c r="G230" s="11"/>
      <c r="H230" s="10"/>
      <c r="I230" s="10"/>
      <c r="J230" s="10"/>
      <c r="K230" s="12"/>
      <c r="L230" s="2"/>
      <c r="M230" s="2"/>
      <c r="N230" s="2"/>
      <c r="O230" s="102"/>
      <c r="P230" s="2"/>
      <c r="Q230" s="1"/>
      <c r="R230" s="2"/>
      <c r="S230" s="2"/>
      <c r="T230" s="2"/>
      <c r="V230" s="11"/>
      <c r="W230" s="10"/>
      <c r="X230" s="10"/>
      <c r="Y230" s="10"/>
      <c r="Z230" s="12"/>
      <c r="AA230" s="2"/>
      <c r="AB230" s="2"/>
      <c r="AC230" s="2"/>
      <c r="AD230" s="2"/>
      <c r="AE230" s="2"/>
    </row>
    <row r="231">
      <c r="B231" s="1"/>
      <c r="C231" s="2"/>
      <c r="D231" s="2"/>
      <c r="E231" s="2"/>
      <c r="G231" s="11"/>
      <c r="H231" s="10"/>
      <c r="I231" s="10"/>
      <c r="J231" s="10"/>
      <c r="K231" s="12"/>
      <c r="L231" s="2"/>
      <c r="M231" s="2"/>
      <c r="N231" s="2"/>
      <c r="O231" s="102"/>
      <c r="P231" s="2"/>
      <c r="Q231" s="1"/>
      <c r="R231" s="2"/>
      <c r="S231" s="2"/>
      <c r="T231" s="2"/>
      <c r="V231" s="11"/>
      <c r="W231" s="10"/>
      <c r="X231" s="10"/>
      <c r="Y231" s="10"/>
      <c r="Z231" s="12"/>
      <c r="AA231" s="2"/>
      <c r="AB231" s="2"/>
      <c r="AC231" s="2"/>
      <c r="AD231" s="2"/>
      <c r="AE231" s="2"/>
    </row>
    <row r="232">
      <c r="B232" s="1"/>
      <c r="C232" s="2"/>
      <c r="D232" s="2"/>
      <c r="E232" s="2"/>
      <c r="G232" s="11"/>
      <c r="H232" s="10"/>
      <c r="I232" s="10"/>
      <c r="J232" s="10"/>
      <c r="K232" s="12"/>
      <c r="L232" s="2"/>
      <c r="M232" s="2"/>
      <c r="N232" s="2"/>
      <c r="O232" s="102"/>
      <c r="P232" s="2"/>
      <c r="Q232" s="1"/>
      <c r="R232" s="2"/>
      <c r="S232" s="2"/>
      <c r="T232" s="2"/>
      <c r="V232" s="11"/>
      <c r="W232" s="10"/>
      <c r="X232" s="10"/>
      <c r="Y232" s="10"/>
      <c r="Z232" s="12"/>
      <c r="AA232" s="2"/>
      <c r="AB232" s="2"/>
      <c r="AC232" s="2"/>
      <c r="AD232" s="2"/>
      <c r="AE232" s="2"/>
    </row>
    <row r="233">
      <c r="B233" s="1"/>
      <c r="C233" s="2"/>
      <c r="D233" s="2"/>
      <c r="E233" s="2"/>
      <c r="G233" s="13"/>
      <c r="H233" s="14"/>
      <c r="I233" s="14"/>
      <c r="J233" s="14"/>
      <c r="K233" s="15"/>
      <c r="L233" s="2"/>
      <c r="M233" s="2"/>
      <c r="N233" s="2"/>
      <c r="O233" s="102"/>
      <c r="P233" s="2"/>
      <c r="Q233" s="1"/>
      <c r="R233" s="2"/>
      <c r="S233" s="2"/>
      <c r="T233" s="2"/>
      <c r="V233" s="13"/>
      <c r="W233" s="14"/>
      <c r="X233" s="14"/>
      <c r="Y233" s="14"/>
      <c r="Z233" s="15"/>
      <c r="AA233" s="2"/>
      <c r="AB233" s="2"/>
      <c r="AC233" s="2"/>
      <c r="AD233" s="2"/>
      <c r="AE233" s="2"/>
    </row>
    <row r="234">
      <c r="B234" s="1"/>
      <c r="C234" s="2"/>
      <c r="D234" s="2"/>
      <c r="E234" s="2"/>
      <c r="F234" s="2"/>
      <c r="G234" s="2"/>
      <c r="H234" s="2"/>
      <c r="I234" s="98" t="s">
        <v>4</v>
      </c>
      <c r="J234" s="2"/>
      <c r="K234" s="2"/>
      <c r="L234" s="2"/>
      <c r="M234" s="2"/>
      <c r="N234" s="2"/>
      <c r="O234" s="102"/>
      <c r="P234" s="2"/>
      <c r="Q234" s="1"/>
      <c r="R234" s="2"/>
      <c r="S234" s="2"/>
      <c r="T234" s="2"/>
      <c r="U234" s="2"/>
      <c r="V234" s="2"/>
      <c r="W234" s="2"/>
      <c r="X234" s="98" t="s">
        <v>4</v>
      </c>
      <c r="Y234" s="2"/>
      <c r="Z234" s="2"/>
      <c r="AA234" s="2"/>
      <c r="AB234" s="2"/>
      <c r="AC234" s="2"/>
      <c r="AD234" s="2"/>
      <c r="AE234" s="2"/>
    </row>
    <row r="235">
      <c r="B235" s="1"/>
      <c r="C235" s="2"/>
      <c r="D235" s="2"/>
      <c r="E235" s="2"/>
      <c r="F235" s="2"/>
      <c r="G235" s="2"/>
      <c r="H235" s="2"/>
      <c r="I235" s="98" t="s">
        <v>4</v>
      </c>
      <c r="J235" s="2"/>
      <c r="K235" s="2"/>
      <c r="L235" s="2"/>
      <c r="M235" s="2"/>
      <c r="N235" s="2"/>
      <c r="O235" s="102"/>
      <c r="P235" s="2"/>
      <c r="Q235" s="1"/>
      <c r="R235" s="2"/>
      <c r="S235" s="2"/>
      <c r="T235" s="2"/>
      <c r="U235" s="2"/>
      <c r="V235" s="2"/>
      <c r="W235" s="2"/>
      <c r="X235" s="98" t="s">
        <v>4</v>
      </c>
      <c r="Y235" s="2"/>
      <c r="Z235" s="2"/>
      <c r="AA235" s="2"/>
      <c r="AB235" s="2"/>
      <c r="AC235" s="2"/>
      <c r="AD235" s="2"/>
      <c r="AE235" s="2"/>
    </row>
    <row r="236">
      <c r="B236" s="1"/>
      <c r="C236" s="2"/>
      <c r="D236" s="2"/>
      <c r="E236" s="2"/>
      <c r="F236" s="34" t="s">
        <v>37</v>
      </c>
      <c r="G236" s="173" t="str">
        <f t="shared" ref="G236:K236" si="61">EXP(G229+Y203)/SUMPRODUCT(EXP($G229:$K229+$Y203:$AC203))
</f>
        <v>#VALUE!</v>
      </c>
      <c r="H236" s="174" t="str">
        <f t="shared" si="61"/>
        <v>#VALUE!</v>
      </c>
      <c r="I236" s="174" t="str">
        <f t="shared" si="61"/>
        <v>#VALUE!</v>
      </c>
      <c r="J236" s="174" t="str">
        <f t="shared" si="61"/>
        <v>#VALUE!</v>
      </c>
      <c r="K236" s="175" t="str">
        <f t="shared" si="61"/>
        <v>#VALUE!</v>
      </c>
      <c r="L236" s="2"/>
      <c r="M236" s="2"/>
      <c r="N236" s="2"/>
      <c r="O236" s="102"/>
      <c r="P236" s="2"/>
      <c r="Q236" s="1"/>
      <c r="R236" s="2"/>
      <c r="S236" s="2"/>
      <c r="T236" s="2"/>
      <c r="U236" s="34" t="s">
        <v>37</v>
      </c>
      <c r="V236" s="173" t="str">
        <f t="shared" ref="V236:Z236" si="62">EXP(V229+Y203)/SUMPRODUCT(EXP($V229:$Z229+$Y203:$AC203))
</f>
        <v>#VALUE!</v>
      </c>
      <c r="W236" s="174" t="str">
        <f t="shared" si="62"/>
        <v>#VALUE!</v>
      </c>
      <c r="X236" s="174" t="str">
        <f t="shared" si="62"/>
        <v>#VALUE!</v>
      </c>
      <c r="Y236" s="174" t="str">
        <f t="shared" si="62"/>
        <v>#VALUE!</v>
      </c>
      <c r="Z236" s="175" t="str">
        <f t="shared" si="62"/>
        <v>#VALUE!</v>
      </c>
      <c r="AA236" s="2"/>
      <c r="AB236" s="2"/>
      <c r="AC236" s="2"/>
      <c r="AD236" s="2"/>
      <c r="AE236" s="2"/>
    </row>
    <row r="237">
      <c r="B237" s="1"/>
      <c r="C237" s="2"/>
      <c r="D237" s="2"/>
      <c r="E237" s="2"/>
      <c r="F237" s="34" t="s">
        <v>35</v>
      </c>
      <c r="G237" s="176">
        <f t="shared" ref="G237:K237" si="63">EXP(G230+Y204)/SUMPRODUCT(EXP($G230:$K230+$Y204:$AC204))
</f>
        <v>0.5</v>
      </c>
      <c r="H237" s="177">
        <f t="shared" si="63"/>
        <v>0.5</v>
      </c>
      <c r="I237" s="177">
        <f t="shared" si="63"/>
        <v>0</v>
      </c>
      <c r="J237" s="177">
        <f t="shared" si="63"/>
        <v>0</v>
      </c>
      <c r="K237" s="178">
        <f t="shared" si="63"/>
        <v>0</v>
      </c>
      <c r="L237" s="2"/>
      <c r="M237" s="2"/>
      <c r="N237" s="2"/>
      <c r="O237" s="102"/>
      <c r="P237" s="2"/>
      <c r="Q237" s="1"/>
      <c r="R237" s="2"/>
      <c r="S237" s="2"/>
      <c r="T237" s="2"/>
      <c r="U237" s="34" t="s">
        <v>35</v>
      </c>
      <c r="V237" s="176">
        <f t="shared" ref="V237:Z237" si="64">EXP(V230+Y204)/SUMPRODUCT(EXP($V230:$Z230+$Y204:$AC204))
</f>
        <v>0.5</v>
      </c>
      <c r="W237" s="177">
        <f t="shared" si="64"/>
        <v>0.5</v>
      </c>
      <c r="X237" s="177">
        <f t="shared" si="64"/>
        <v>0</v>
      </c>
      <c r="Y237" s="177">
        <f t="shared" si="64"/>
        <v>0</v>
      </c>
      <c r="Z237" s="178">
        <f t="shared" si="64"/>
        <v>0</v>
      </c>
      <c r="AA237" s="2"/>
      <c r="AB237" s="2"/>
      <c r="AC237" s="2"/>
      <c r="AD237" s="2"/>
      <c r="AE237" s="2"/>
    </row>
    <row r="238">
      <c r="B238" s="1"/>
      <c r="C238" s="2"/>
      <c r="D238" s="2"/>
      <c r="E238" s="2"/>
      <c r="F238" s="67"/>
      <c r="G238" s="176">
        <f t="shared" ref="G238:K238" si="65">EXP(G231+Y205)/SUMPRODUCT(EXP($G231:$K231+$Y205:$AC205))
</f>
        <v>0.3333333333</v>
      </c>
      <c r="H238" s="177">
        <f t="shared" si="65"/>
        <v>0.3333333333</v>
      </c>
      <c r="I238" s="177">
        <f t="shared" si="65"/>
        <v>0.3333333333</v>
      </c>
      <c r="J238" s="177">
        <f t="shared" si="65"/>
        <v>0</v>
      </c>
      <c r="K238" s="178">
        <f t="shared" si="65"/>
        <v>0</v>
      </c>
      <c r="L238" s="2"/>
      <c r="M238" s="2"/>
      <c r="N238" s="2"/>
      <c r="O238" s="102"/>
      <c r="P238" s="2"/>
      <c r="Q238" s="1"/>
      <c r="R238" s="2"/>
      <c r="S238" s="2"/>
      <c r="T238" s="2"/>
      <c r="U238" s="67"/>
      <c r="V238" s="176">
        <f t="shared" ref="V238:Z238" si="66">EXP(V231+Y205)/SUMPRODUCT(EXP($V231:$Z231+$Y205:$AC205))
</f>
        <v>0.3333333333</v>
      </c>
      <c r="W238" s="177">
        <f t="shared" si="66"/>
        <v>0.3333333333</v>
      </c>
      <c r="X238" s="177">
        <f t="shared" si="66"/>
        <v>0.3333333333</v>
      </c>
      <c r="Y238" s="177">
        <f t="shared" si="66"/>
        <v>0</v>
      </c>
      <c r="Z238" s="178">
        <f t="shared" si="66"/>
        <v>0</v>
      </c>
      <c r="AA238" s="2"/>
      <c r="AB238" s="2"/>
      <c r="AC238" s="2"/>
      <c r="AD238" s="2"/>
      <c r="AE238" s="2"/>
    </row>
    <row r="239">
      <c r="B239" s="1"/>
      <c r="C239" s="2"/>
      <c r="D239" s="2"/>
      <c r="E239" s="2"/>
      <c r="F239" s="94"/>
      <c r="G239" s="176">
        <f t="shared" ref="G239:K239" si="67">EXP(G232+Y206)/SUMPRODUCT(EXP($G232:$K232+$Y206:$AC206))
</f>
        <v>0.25</v>
      </c>
      <c r="H239" s="177">
        <f t="shared" si="67"/>
        <v>0.25</v>
      </c>
      <c r="I239" s="177">
        <f t="shared" si="67"/>
        <v>0.25</v>
      </c>
      <c r="J239" s="177">
        <f t="shared" si="67"/>
        <v>0.25</v>
      </c>
      <c r="K239" s="178">
        <f t="shared" si="67"/>
        <v>0</v>
      </c>
      <c r="L239" s="2"/>
      <c r="M239" s="2"/>
      <c r="N239" s="2"/>
      <c r="O239" s="102"/>
      <c r="P239" s="21"/>
      <c r="Q239" s="2"/>
      <c r="R239" s="2"/>
      <c r="S239" s="2"/>
      <c r="T239" s="2"/>
      <c r="U239" s="2"/>
      <c r="V239" s="176">
        <f t="shared" ref="V239:Z239" si="68">EXP(V232+Y206)/SUMPRODUCT(EXP($V232:$Z232+$Y206:$AC206))
</f>
        <v>0.25</v>
      </c>
      <c r="W239" s="177">
        <f t="shared" si="68"/>
        <v>0.25</v>
      </c>
      <c r="X239" s="177">
        <f t="shared" si="68"/>
        <v>0.25</v>
      </c>
      <c r="Y239" s="177">
        <f t="shared" si="68"/>
        <v>0.25</v>
      </c>
      <c r="Z239" s="178">
        <f t="shared" si="68"/>
        <v>0</v>
      </c>
      <c r="AA239" s="2"/>
      <c r="AB239" s="2"/>
      <c r="AC239" s="2"/>
      <c r="AD239" s="2"/>
      <c r="AE239" s="2"/>
    </row>
    <row r="240">
      <c r="B240" s="1"/>
      <c r="C240" s="2"/>
      <c r="D240" s="2"/>
      <c r="E240" s="2"/>
      <c r="F240" s="41"/>
      <c r="G240" s="179">
        <f t="shared" ref="G240:K240" si="69">EXP(G233+Y207)/SUMPRODUCT(EXP($G233:$K233+$Y207:$AC207))
</f>
        <v>0.2</v>
      </c>
      <c r="H240" s="180">
        <f t="shared" si="69"/>
        <v>0.2</v>
      </c>
      <c r="I240" s="180">
        <f t="shared" si="69"/>
        <v>0.2</v>
      </c>
      <c r="J240" s="180">
        <f t="shared" si="69"/>
        <v>0.2</v>
      </c>
      <c r="K240" s="181">
        <f t="shared" si="69"/>
        <v>0.2</v>
      </c>
      <c r="L240" s="2"/>
      <c r="M240" s="2"/>
      <c r="N240" s="2"/>
      <c r="O240" s="102"/>
      <c r="P240" s="2"/>
      <c r="Q240" s="2"/>
      <c r="R240" s="2"/>
      <c r="S240" s="2"/>
      <c r="T240" s="2"/>
      <c r="U240" s="2"/>
      <c r="V240" s="179">
        <f t="shared" ref="V240:Z240" si="70">EXP(V233+Y207)/SUMPRODUCT(EXP($V233:$Z233+$Y207:$AC207))
</f>
        <v>0.2</v>
      </c>
      <c r="W240" s="180">
        <f t="shared" si="70"/>
        <v>0.2</v>
      </c>
      <c r="X240" s="180">
        <f t="shared" si="70"/>
        <v>0.2</v>
      </c>
      <c r="Y240" s="180">
        <f t="shared" si="70"/>
        <v>0.2</v>
      </c>
      <c r="Z240" s="181">
        <f t="shared" si="70"/>
        <v>0.2</v>
      </c>
      <c r="AA240" s="2"/>
      <c r="AB240" s="2"/>
      <c r="AC240" s="2"/>
      <c r="AD240" s="2"/>
      <c r="AE240" s="2"/>
    </row>
    <row r="241">
      <c r="B241" s="1"/>
      <c r="C241" s="2"/>
      <c r="D241" s="2"/>
      <c r="E241" s="2"/>
      <c r="F241" s="2"/>
      <c r="G241" s="2"/>
      <c r="H241" s="2"/>
      <c r="I241" s="98" t="s">
        <v>4</v>
      </c>
      <c r="J241" s="2"/>
      <c r="K241" s="2"/>
      <c r="L241" s="2"/>
      <c r="M241" s="2"/>
      <c r="N241" s="2"/>
      <c r="O241" s="102"/>
      <c r="P241" s="2"/>
      <c r="Q241" s="2"/>
      <c r="R241" s="2"/>
      <c r="S241" s="2"/>
      <c r="T241" s="2"/>
      <c r="U241" s="2"/>
      <c r="V241" s="2"/>
      <c r="W241" s="2"/>
      <c r="X241" s="98" t="s">
        <v>4</v>
      </c>
      <c r="Y241" s="2"/>
      <c r="Z241" s="2"/>
      <c r="AA241" s="2"/>
      <c r="AB241" s="2"/>
      <c r="AC241" s="2"/>
      <c r="AD241" s="2"/>
      <c r="AE241" s="2"/>
    </row>
    <row r="242">
      <c r="B242" s="1"/>
      <c r="C242" s="2"/>
      <c r="D242" s="2"/>
      <c r="E242" s="2"/>
      <c r="F242" s="2"/>
      <c r="G242" s="2"/>
      <c r="H242" s="2"/>
      <c r="I242" s="98" t="s">
        <v>4</v>
      </c>
      <c r="J242" s="2"/>
      <c r="K242" s="2"/>
      <c r="L242" s="2"/>
      <c r="M242" s="2"/>
      <c r="N242" s="2"/>
      <c r="O242" s="102"/>
      <c r="P242" s="2"/>
      <c r="Q242" s="2"/>
      <c r="R242" s="2"/>
      <c r="S242" s="2"/>
      <c r="T242" s="2"/>
      <c r="U242" s="2"/>
      <c r="V242" s="2"/>
      <c r="W242" s="2"/>
      <c r="X242" s="98" t="s">
        <v>4</v>
      </c>
      <c r="Y242" s="2"/>
      <c r="Z242" s="2"/>
      <c r="AA242" s="2"/>
      <c r="AB242" s="2"/>
      <c r="AC242" s="2"/>
      <c r="AD242" s="2"/>
      <c r="AE242" s="2"/>
    </row>
    <row r="243">
      <c r="B243" s="1"/>
      <c r="C243" s="2"/>
      <c r="D243" s="2"/>
      <c r="E243" s="2"/>
      <c r="F243" s="66" t="s">
        <v>54</v>
      </c>
      <c r="G243" s="7" t="str">
        <f t="array" ref="G243">MMULT(J222:N226,G236:K240)</f>
        <v>#VALUE!</v>
      </c>
      <c r="H243" s="8"/>
      <c r="I243" s="8"/>
      <c r="J243" s="8"/>
      <c r="K243" s="9"/>
      <c r="L243" s="2"/>
      <c r="M243" s="2"/>
      <c r="N243" s="2"/>
      <c r="O243" s="102"/>
      <c r="P243" s="2"/>
      <c r="Q243" s="2"/>
      <c r="R243" s="2"/>
      <c r="S243" s="2"/>
      <c r="T243" s="2"/>
      <c r="U243" s="66" t="s">
        <v>55</v>
      </c>
      <c r="V243" s="7" t="str">
        <f t="array" ref="V243">MMULT(Y222:AC226,V236:Z240)</f>
        <v>#VALUE!</v>
      </c>
      <c r="W243" s="8"/>
      <c r="X243" s="8"/>
      <c r="Y243" s="8"/>
      <c r="Z243" s="9"/>
      <c r="AA243" s="2"/>
      <c r="AB243" s="2"/>
      <c r="AC243" s="2"/>
      <c r="AD243" s="2"/>
      <c r="AE243" s="2"/>
    </row>
    <row r="244">
      <c r="B244" s="1"/>
      <c r="C244" s="2"/>
      <c r="D244" s="2"/>
      <c r="E244" s="2"/>
      <c r="F244" s="2"/>
      <c r="G244" s="11"/>
      <c r="H244" s="10"/>
      <c r="I244" s="10"/>
      <c r="J244" s="10"/>
      <c r="K244" s="12"/>
      <c r="L244" s="2"/>
      <c r="M244" s="2"/>
      <c r="N244" s="2"/>
      <c r="O244" s="102"/>
      <c r="P244" s="2"/>
      <c r="Q244" s="2"/>
      <c r="R244" s="2"/>
      <c r="S244" s="2"/>
      <c r="T244" s="2"/>
      <c r="U244" s="2"/>
      <c r="V244" s="11"/>
      <c r="W244" s="10"/>
      <c r="X244" s="10"/>
      <c r="Y244" s="10"/>
      <c r="Z244" s="12"/>
      <c r="AA244" s="2"/>
      <c r="AB244" s="2"/>
      <c r="AC244" s="2"/>
      <c r="AD244" s="2"/>
      <c r="AE244" s="2"/>
    </row>
    <row r="245">
      <c r="B245" s="1"/>
      <c r="C245" s="2"/>
      <c r="D245" s="2"/>
      <c r="E245" s="2"/>
      <c r="F245" s="2"/>
      <c r="G245" s="11"/>
      <c r="H245" s="10"/>
      <c r="I245" s="10"/>
      <c r="J245" s="10"/>
      <c r="K245" s="12"/>
      <c r="L245" s="2"/>
      <c r="M245" s="2"/>
      <c r="N245" s="2"/>
      <c r="O245" s="102"/>
      <c r="P245" s="2"/>
      <c r="Q245" s="2"/>
      <c r="R245" s="2"/>
      <c r="S245" s="2"/>
      <c r="T245" s="2"/>
      <c r="U245" s="2"/>
      <c r="V245" s="11"/>
      <c r="W245" s="10"/>
      <c r="X245" s="10"/>
      <c r="Y245" s="10"/>
      <c r="Z245" s="12"/>
      <c r="AA245" s="2"/>
      <c r="AB245" s="2"/>
      <c r="AC245" s="2"/>
      <c r="AD245" s="2"/>
      <c r="AE245" s="2"/>
    </row>
    <row r="246">
      <c r="B246" s="1"/>
      <c r="C246" s="2"/>
      <c r="D246" s="2"/>
      <c r="E246" s="2"/>
      <c r="F246" s="2"/>
      <c r="G246" s="11"/>
      <c r="H246" s="10"/>
      <c r="I246" s="10"/>
      <c r="J246" s="10"/>
      <c r="K246" s="12"/>
      <c r="L246" s="2"/>
      <c r="M246" s="2"/>
      <c r="N246" s="2"/>
      <c r="O246" s="102"/>
      <c r="P246" s="2"/>
      <c r="Q246" s="2"/>
      <c r="R246" s="2"/>
      <c r="S246" s="2"/>
      <c r="T246" s="2"/>
      <c r="U246" s="2"/>
      <c r="V246" s="11"/>
      <c r="W246" s="10"/>
      <c r="X246" s="10"/>
      <c r="Y246" s="10"/>
      <c r="Z246" s="12"/>
      <c r="AA246" s="2"/>
      <c r="AB246" s="2"/>
      <c r="AC246" s="2"/>
      <c r="AD246" s="2"/>
      <c r="AE246" s="2"/>
    </row>
    <row r="247">
      <c r="B247" s="1"/>
      <c r="C247" s="2"/>
      <c r="D247" s="2"/>
      <c r="E247" s="2"/>
      <c r="F247" s="2"/>
      <c r="G247" s="13"/>
      <c r="H247" s="14"/>
      <c r="I247" s="14"/>
      <c r="J247" s="14"/>
      <c r="K247" s="15"/>
      <c r="L247" s="2"/>
      <c r="M247" s="2"/>
      <c r="N247" s="2"/>
      <c r="O247" s="102"/>
      <c r="P247" s="2"/>
      <c r="Q247" s="2"/>
      <c r="R247" s="2"/>
      <c r="S247" s="2"/>
      <c r="T247" s="2"/>
      <c r="U247" s="2"/>
      <c r="V247" s="13"/>
      <c r="W247" s="14"/>
      <c r="X247" s="14"/>
      <c r="Y247" s="14"/>
      <c r="Z247" s="15"/>
      <c r="AA247" s="2"/>
      <c r="AB247" s="2"/>
      <c r="AC247" s="2"/>
      <c r="AD247" s="2"/>
      <c r="AE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0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0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0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0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0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47" t="s">
        <v>56</v>
      </c>
      <c r="AA253" s="48"/>
      <c r="AB253" s="48"/>
      <c r="AC253" s="48"/>
      <c r="AD253" s="48"/>
      <c r="AE253" s="48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B260" s="1"/>
      <c r="C260" s="99" t="s">
        <v>54</v>
      </c>
      <c r="D260" s="2"/>
      <c r="E260" s="2"/>
      <c r="F260" s="2"/>
      <c r="G260" s="2"/>
      <c r="H260" s="2"/>
      <c r="I260" s="99" t="s">
        <v>55</v>
      </c>
      <c r="J260" s="2"/>
      <c r="K260" s="2"/>
      <c r="L260" s="2"/>
      <c r="M260" s="2"/>
      <c r="N260" s="2"/>
      <c r="O260" s="182" t="s">
        <v>57</v>
      </c>
      <c r="P260" s="41"/>
      <c r="Q260" s="41"/>
      <c r="R260" s="41"/>
      <c r="S260" s="41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C261" s="7" t="str">
        <f t="array" ref="C261:G265">G243:K247</f>
        <v>#VALUE!</v>
      </c>
      <c r="D261" s="8"/>
      <c r="E261" s="8"/>
      <c r="F261" s="8"/>
      <c r="G261" s="9"/>
      <c r="H261" s="2"/>
      <c r="I261" s="7" t="str">
        <f t="array" ref="I261:M265">V243:Z247</f>
        <v>#VALUE!</v>
      </c>
      <c r="J261" s="8"/>
      <c r="K261" s="8"/>
      <c r="L261" s="8"/>
      <c r="M261" s="9"/>
      <c r="N261" s="2"/>
      <c r="O261" s="183">
        <f t="shared" ref="O261:S261" si="71">NORMINV(rand(),0,2)</f>
        <v>-2.771924853</v>
      </c>
      <c r="P261" s="123">
        <f t="shared" si="71"/>
        <v>0.03114672072</v>
      </c>
      <c r="Q261" s="123">
        <f t="shared" si="71"/>
        <v>0.9090489318</v>
      </c>
      <c r="R261" s="123">
        <f t="shared" si="71"/>
        <v>0.5280552979</v>
      </c>
      <c r="S261" s="184">
        <f t="shared" si="71"/>
        <v>-1.420379411</v>
      </c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B262" s="2"/>
      <c r="C262" s="11"/>
      <c r="D262" s="10"/>
      <c r="E262" s="10"/>
      <c r="F262" s="10"/>
      <c r="G262" s="12"/>
      <c r="H262" s="2"/>
      <c r="I262" s="11"/>
      <c r="J262" s="10"/>
      <c r="K262" s="10"/>
      <c r="L262" s="10"/>
      <c r="M262" s="12"/>
      <c r="N262" s="21" t="s">
        <v>58</v>
      </c>
      <c r="O262" s="185">
        <f t="shared" ref="O262:S262" si="72">NORMINV(rand(),0,2)</f>
        <v>-0.3445413057</v>
      </c>
      <c r="P262" s="186">
        <f t="shared" si="72"/>
        <v>2.630974722</v>
      </c>
      <c r="Q262" s="186">
        <f t="shared" si="72"/>
        <v>2.681423051</v>
      </c>
      <c r="R262" s="186">
        <f t="shared" si="72"/>
        <v>-0.2279454465</v>
      </c>
      <c r="S262" s="187">
        <f t="shared" si="72"/>
        <v>-2.199614252</v>
      </c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B263" s="2"/>
      <c r="C263" s="11"/>
      <c r="D263" s="10"/>
      <c r="E263" s="10"/>
      <c r="F263" s="10"/>
      <c r="G263" s="12"/>
      <c r="H263" s="2"/>
      <c r="I263" s="11"/>
      <c r="J263" s="10"/>
      <c r="K263" s="10"/>
      <c r="L263" s="10"/>
      <c r="M263" s="12"/>
      <c r="N263" s="2"/>
      <c r="O263" s="185">
        <f t="shared" ref="O263:S263" si="73">NORMINV(rand(),0,2)</f>
        <v>0.2576590277</v>
      </c>
      <c r="P263" s="186">
        <f t="shared" si="73"/>
        <v>-1.158873149</v>
      </c>
      <c r="Q263" s="186">
        <f t="shared" si="73"/>
        <v>2.807264572</v>
      </c>
      <c r="R263" s="186">
        <f t="shared" si="73"/>
        <v>1.315545678</v>
      </c>
      <c r="S263" s="187">
        <f t="shared" si="73"/>
        <v>1.279460998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B264" s="2"/>
      <c r="C264" s="11"/>
      <c r="D264" s="10"/>
      <c r="E264" s="10"/>
      <c r="F264" s="10"/>
      <c r="G264" s="12"/>
      <c r="H264" s="2"/>
      <c r="I264" s="11"/>
      <c r="J264" s="10"/>
      <c r="K264" s="10"/>
      <c r="L264" s="10"/>
      <c r="M264" s="12"/>
      <c r="N264" s="2"/>
      <c r="O264" s="185">
        <f t="shared" ref="O264:S264" si="74">NORMINV(rand(),0,2)</f>
        <v>-0.3747282708</v>
      </c>
      <c r="P264" s="186">
        <f t="shared" si="74"/>
        <v>-3.453854991</v>
      </c>
      <c r="Q264" s="186">
        <f t="shared" si="74"/>
        <v>2.912824995</v>
      </c>
      <c r="R264" s="186">
        <f t="shared" si="74"/>
        <v>1.026831452</v>
      </c>
      <c r="S264" s="187">
        <f t="shared" si="74"/>
        <v>-2.300142314</v>
      </c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B265" s="2"/>
      <c r="C265" s="13"/>
      <c r="D265" s="14"/>
      <c r="E265" s="14"/>
      <c r="F265" s="14"/>
      <c r="G265" s="15"/>
      <c r="H265" s="2"/>
      <c r="I265" s="13"/>
      <c r="J265" s="14"/>
      <c r="K265" s="14"/>
      <c r="L265" s="14"/>
      <c r="M265" s="15"/>
      <c r="N265" s="2"/>
      <c r="O265" s="188">
        <f t="shared" ref="O265:S265" si="75">NORMINV(rand(),0,2)</f>
        <v>-0.2246640609</v>
      </c>
      <c r="P265" s="189">
        <f t="shared" si="75"/>
        <v>-0.7238422556</v>
      </c>
      <c r="Q265" s="189">
        <f t="shared" si="75"/>
        <v>0.6355651585</v>
      </c>
      <c r="R265" s="189">
        <f t="shared" si="75"/>
        <v>-1.030257234</v>
      </c>
      <c r="S265" s="190">
        <f t="shared" si="75"/>
        <v>-2.811671237</v>
      </c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B266" s="1"/>
      <c r="C266" s="2"/>
      <c r="D266" s="2"/>
      <c r="E266" s="2"/>
      <c r="F266" s="2"/>
      <c r="G266" s="98" t="s">
        <v>4</v>
      </c>
      <c r="H266" s="2"/>
      <c r="I266" s="2"/>
      <c r="J266" s="2"/>
      <c r="K266" s="67" t="s">
        <v>4</v>
      </c>
      <c r="L266" s="2"/>
      <c r="M266" s="2"/>
      <c r="N266" s="2"/>
      <c r="O266" s="3"/>
      <c r="P266" s="67" t="s">
        <v>4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B267" s="1"/>
      <c r="C267" s="2"/>
      <c r="D267" s="2"/>
      <c r="E267" s="2"/>
      <c r="F267" s="2"/>
      <c r="G267" s="98" t="s">
        <v>4</v>
      </c>
      <c r="H267" s="2"/>
      <c r="I267" s="2"/>
      <c r="J267" s="2"/>
      <c r="K267" s="67" t="s">
        <v>4</v>
      </c>
      <c r="L267" s="2"/>
      <c r="M267" s="2"/>
      <c r="N267" s="2"/>
      <c r="O267" s="3"/>
      <c r="P267" s="67" t="s">
        <v>4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B268" s="1"/>
      <c r="C268" s="2"/>
      <c r="D268" s="66" t="s">
        <v>59</v>
      </c>
      <c r="E268" s="7" t="str">
        <f t="array" ref="E268:I272">C261:G265</f>
        <v>#VALUE!</v>
      </c>
      <c r="F268" s="8"/>
      <c r="G268" s="8"/>
      <c r="H268" s="8"/>
      <c r="I268" s="8"/>
      <c r="J268" s="7" t="str">
        <f t="array" ref="J268:N272">I261:M265</f>
        <v>#VALUE!</v>
      </c>
      <c r="K268" s="8"/>
      <c r="L268" s="8"/>
      <c r="M268" s="8"/>
      <c r="N268" s="8"/>
      <c r="O268" s="7">
        <f t="array" ref="O268:S272">O261:S265</f>
        <v>-2.771924853</v>
      </c>
      <c r="P268" s="8">
        <v>0.031146720722853783</v>
      </c>
      <c r="Q268" s="8">
        <v>0.9090489318355293</v>
      </c>
      <c r="R268" s="8">
        <v>0.5280552978726587</v>
      </c>
      <c r="S268" s="9">
        <v>-1.4203794109087278</v>
      </c>
      <c r="T268" s="2"/>
      <c r="U268" s="2"/>
      <c r="AB268" s="2"/>
      <c r="AC268" s="2"/>
      <c r="AD268" s="2"/>
      <c r="AE268" s="2"/>
    </row>
    <row r="269">
      <c r="B269" s="1"/>
      <c r="C269" s="2"/>
      <c r="D269" s="2"/>
      <c r="E269" s="11"/>
      <c r="F269" s="10"/>
      <c r="G269" s="10"/>
      <c r="H269" s="10"/>
      <c r="I269" s="10"/>
      <c r="J269" s="11"/>
      <c r="K269" s="10"/>
      <c r="L269" s="10"/>
      <c r="M269" s="10"/>
      <c r="N269" s="10"/>
      <c r="O269" s="11">
        <v>-0.3445413057223553</v>
      </c>
      <c r="P269" s="10">
        <v>2.6309747224177356</v>
      </c>
      <c r="Q269" s="10">
        <v>2.6814230511541064</v>
      </c>
      <c r="R269" s="10">
        <v>-0.2279454464520533</v>
      </c>
      <c r="S269" s="12">
        <v>-2.1996142519807385</v>
      </c>
      <c r="T269" s="2"/>
      <c r="U269" s="2"/>
      <c r="AB269" s="2"/>
      <c r="AC269" s="2"/>
      <c r="AD269" s="2"/>
      <c r="AE269" s="2"/>
    </row>
    <row r="270">
      <c r="B270" s="1"/>
      <c r="C270" s="2"/>
      <c r="D270" s="2"/>
      <c r="E270" s="11"/>
      <c r="F270" s="10"/>
      <c r="G270" s="10"/>
      <c r="H270" s="10"/>
      <c r="I270" s="10"/>
      <c r="J270" s="11"/>
      <c r="K270" s="10"/>
      <c r="L270" s="10"/>
      <c r="M270" s="10"/>
      <c r="N270" s="10"/>
      <c r="O270" s="11">
        <v>0.2576590277308738</v>
      </c>
      <c r="P270" s="10">
        <v>-1.1588731489479651</v>
      </c>
      <c r="Q270" s="10">
        <v>2.8072645719548293</v>
      </c>
      <c r="R270" s="10">
        <v>1.3155456775144905</v>
      </c>
      <c r="S270" s="12">
        <v>1.2794609981774985</v>
      </c>
      <c r="T270" s="2"/>
      <c r="U270" s="2"/>
      <c r="AB270" s="2"/>
      <c r="AC270" s="2"/>
      <c r="AD270" s="2"/>
      <c r="AE270" s="2"/>
    </row>
    <row r="271">
      <c r="B271" s="1"/>
      <c r="C271" s="2"/>
      <c r="D271" s="2"/>
      <c r="E271" s="11"/>
      <c r="F271" s="10"/>
      <c r="G271" s="10"/>
      <c r="H271" s="10"/>
      <c r="I271" s="10"/>
      <c r="J271" s="11"/>
      <c r="K271" s="10"/>
      <c r="L271" s="10"/>
      <c r="M271" s="10"/>
      <c r="N271" s="10"/>
      <c r="O271" s="11">
        <v>-0.37472827079172566</v>
      </c>
      <c r="P271" s="10">
        <v>-3.453854990731782</v>
      </c>
      <c r="Q271" s="10">
        <v>2.912824994970935</v>
      </c>
      <c r="R271" s="10">
        <v>1.0268314523368882</v>
      </c>
      <c r="S271" s="12">
        <v>-2.3001423143688604</v>
      </c>
      <c r="T271" s="2"/>
      <c r="U271" s="2"/>
      <c r="AB271" s="2"/>
      <c r="AC271" s="2"/>
      <c r="AD271" s="2"/>
      <c r="AE271" s="2"/>
    </row>
    <row r="272">
      <c r="B272" s="1"/>
      <c r="C272" s="2"/>
      <c r="D272" s="2"/>
      <c r="E272" s="13"/>
      <c r="F272" s="14"/>
      <c r="G272" s="14"/>
      <c r="H272" s="14"/>
      <c r="I272" s="14"/>
      <c r="J272" s="13"/>
      <c r="K272" s="14"/>
      <c r="L272" s="14"/>
      <c r="M272" s="14"/>
      <c r="N272" s="14"/>
      <c r="O272" s="13">
        <v>-0.22466406085384508</v>
      </c>
      <c r="P272" s="14">
        <v>-0.7238422555796898</v>
      </c>
      <c r="Q272" s="14">
        <v>0.6355651585304333</v>
      </c>
      <c r="R272" s="14">
        <v>-1.030257234411656</v>
      </c>
      <c r="S272" s="15">
        <v>-2.811671236502868</v>
      </c>
      <c r="T272" s="2"/>
      <c r="U272" s="2"/>
      <c r="AB272" s="2"/>
      <c r="AC272" s="2"/>
      <c r="AD272" s="2"/>
      <c r="AE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67" t="s">
        <v>4</v>
      </c>
      <c r="O273" s="3"/>
      <c r="P273" s="2"/>
      <c r="Q273" s="2"/>
      <c r="R273" s="2"/>
      <c r="S273" s="2"/>
      <c r="T273" s="2"/>
      <c r="U273" s="2"/>
      <c r="AB273" s="2"/>
      <c r="AC273" s="2"/>
      <c r="AD273" s="2"/>
      <c r="AE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67" t="s">
        <v>4</v>
      </c>
      <c r="O274" s="3"/>
      <c r="P274" s="2"/>
      <c r="Q274" s="2"/>
      <c r="R274" s="2"/>
      <c r="S274" s="2"/>
      <c r="T274" s="2"/>
      <c r="U274" s="2"/>
      <c r="AB274" s="2"/>
      <c r="AC274" s="2"/>
      <c r="AD274" s="2"/>
      <c r="AE274" s="2"/>
    </row>
    <row r="275">
      <c r="B275" s="1"/>
      <c r="C275" s="2"/>
      <c r="D275" s="66" t="s">
        <v>60</v>
      </c>
      <c r="E275" s="7">
        <f t="shared" ref="E275:I275" si="76">NORMINV(rand(),0, 1)</f>
        <v>0.6926550761</v>
      </c>
      <c r="F275" s="8">
        <f t="shared" si="76"/>
        <v>-1.101278318</v>
      </c>
      <c r="G275" s="8">
        <f t="shared" si="76"/>
        <v>0.1694231057</v>
      </c>
      <c r="H275" s="8">
        <f t="shared" si="76"/>
        <v>0.01582089361</v>
      </c>
      <c r="I275" s="9">
        <f t="shared" si="76"/>
        <v>-0.9704049098</v>
      </c>
      <c r="J275" s="2"/>
      <c r="K275" s="66" t="s">
        <v>61</v>
      </c>
      <c r="L275" s="191" t="s">
        <v>62</v>
      </c>
      <c r="M275" s="8"/>
      <c r="N275" s="8"/>
      <c r="O275" s="8"/>
      <c r="P275" s="9"/>
      <c r="Q275" s="10"/>
      <c r="R275" s="10"/>
      <c r="S275" s="10"/>
      <c r="T275" s="10"/>
      <c r="U275" s="10"/>
      <c r="V275" s="192"/>
      <c r="W275" s="192"/>
      <c r="X275" s="192"/>
      <c r="Y275" s="192"/>
      <c r="Z275" s="192"/>
      <c r="AB275" s="2"/>
      <c r="AC275" s="2"/>
      <c r="AD275" s="2"/>
      <c r="AE275" s="2"/>
    </row>
    <row r="276">
      <c r="B276" s="1"/>
      <c r="C276" s="2"/>
      <c r="D276" s="2"/>
      <c r="E276" s="11">
        <f t="shared" ref="E276:I276" si="77">NORMINV(rand(),0, 1)</f>
        <v>0.9968281234</v>
      </c>
      <c r="F276" s="10">
        <f t="shared" si="77"/>
        <v>0.496075626</v>
      </c>
      <c r="G276" s="10">
        <f t="shared" si="77"/>
        <v>0.2518668534</v>
      </c>
      <c r="H276" s="10">
        <f t="shared" si="77"/>
        <v>-0.1952016298</v>
      </c>
      <c r="I276" s="12">
        <f t="shared" si="77"/>
        <v>0.09382123146</v>
      </c>
      <c r="J276" s="2"/>
      <c r="K276" s="2"/>
      <c r="L276" s="11"/>
      <c r="M276" s="10"/>
      <c r="N276" s="10"/>
      <c r="O276" s="10"/>
      <c r="P276" s="12"/>
      <c r="Q276" s="10"/>
      <c r="R276" s="10"/>
      <c r="S276" s="10"/>
      <c r="T276" s="10"/>
      <c r="U276" s="10"/>
      <c r="V276" s="192"/>
      <c r="W276" s="192"/>
      <c r="X276" s="192"/>
      <c r="Y276" s="192"/>
      <c r="Z276" s="192"/>
      <c r="AB276" s="2"/>
      <c r="AC276" s="2"/>
      <c r="AD276" s="2"/>
      <c r="AE276" s="2"/>
    </row>
    <row r="277">
      <c r="B277" s="1"/>
      <c r="C277" s="2"/>
      <c r="D277" s="2"/>
      <c r="E277" s="11">
        <f t="shared" ref="E277:I277" si="78">NORMINV(rand(),0, 1)</f>
        <v>-0.2165218953</v>
      </c>
      <c r="F277" s="10">
        <f t="shared" si="78"/>
        <v>0.4570774686</v>
      </c>
      <c r="G277" s="10">
        <f t="shared" si="78"/>
        <v>-0.6401232272</v>
      </c>
      <c r="H277" s="10">
        <f t="shared" si="78"/>
        <v>-0.04275631247</v>
      </c>
      <c r="I277" s="12">
        <f t="shared" si="78"/>
        <v>1.301985601</v>
      </c>
      <c r="J277" s="67" t="s">
        <v>8</v>
      </c>
      <c r="K277" s="67" t="s">
        <v>8</v>
      </c>
      <c r="L277" s="11"/>
      <c r="M277" s="10"/>
      <c r="N277" s="10"/>
      <c r="O277" s="10"/>
      <c r="P277" s="12"/>
      <c r="Q277" s="10"/>
      <c r="R277" s="10"/>
      <c r="S277" s="10"/>
      <c r="T277" s="10"/>
      <c r="U277" s="10"/>
      <c r="V277" s="192"/>
      <c r="W277" s="192"/>
      <c r="X277" s="192"/>
      <c r="Y277" s="192"/>
      <c r="Z277" s="192"/>
      <c r="AB277" s="2"/>
      <c r="AC277" s="2"/>
      <c r="AD277" s="2"/>
      <c r="AE277" s="2"/>
    </row>
    <row r="278">
      <c r="B278" s="1"/>
      <c r="C278" s="2"/>
      <c r="D278" s="2"/>
      <c r="E278" s="11">
        <f t="shared" ref="E278:I278" si="79">NORMINV(rand(),0, 1)</f>
        <v>-0.4186020088</v>
      </c>
      <c r="F278" s="10">
        <f t="shared" si="79"/>
        <v>-0.8753702196</v>
      </c>
      <c r="G278" s="10">
        <f t="shared" si="79"/>
        <v>-0.7615753511</v>
      </c>
      <c r="H278" s="10">
        <f t="shared" si="79"/>
        <v>0.393253026</v>
      </c>
      <c r="I278" s="12">
        <f t="shared" si="79"/>
        <v>0.00956932204</v>
      </c>
      <c r="J278" s="2"/>
      <c r="K278" s="2"/>
      <c r="L278" s="11"/>
      <c r="M278" s="10"/>
      <c r="N278" s="10"/>
      <c r="O278" s="10"/>
      <c r="P278" s="12"/>
      <c r="Q278" s="10"/>
      <c r="R278" s="10"/>
      <c r="S278" s="10"/>
      <c r="T278" s="10"/>
      <c r="U278" s="10"/>
      <c r="V278" s="192"/>
      <c r="W278" s="192"/>
      <c r="X278" s="192"/>
      <c r="Y278" s="192"/>
      <c r="Z278" s="192"/>
      <c r="AB278" s="2"/>
      <c r="AC278" s="2"/>
      <c r="AD278" s="2"/>
      <c r="AE278" s="2"/>
    </row>
    <row r="279">
      <c r="B279" s="1"/>
      <c r="C279" s="2"/>
      <c r="D279" s="2"/>
      <c r="E279" s="11">
        <f t="shared" ref="E279:I279" si="80">NORMINV(rand(),0, 1)</f>
        <v>0.2195822202</v>
      </c>
      <c r="F279" s="10">
        <f t="shared" si="80"/>
        <v>-1.205471524</v>
      </c>
      <c r="G279" s="10">
        <f t="shared" si="80"/>
        <v>0.1470721922</v>
      </c>
      <c r="H279" s="10">
        <f t="shared" si="80"/>
        <v>0.006246942681</v>
      </c>
      <c r="I279" s="12">
        <f t="shared" si="80"/>
        <v>0.04265039483</v>
      </c>
      <c r="J279" s="2"/>
      <c r="K279" s="2"/>
      <c r="L279" s="13"/>
      <c r="M279" s="14"/>
      <c r="N279" s="14"/>
      <c r="O279" s="14"/>
      <c r="P279" s="15"/>
      <c r="Q279" s="10"/>
      <c r="R279" s="10"/>
      <c r="S279" s="10"/>
      <c r="T279" s="10"/>
      <c r="U279" s="10"/>
      <c r="V279" s="192"/>
      <c r="W279" s="192"/>
      <c r="X279" s="192"/>
      <c r="Y279" s="192"/>
      <c r="Z279" s="192"/>
      <c r="AB279" s="2"/>
      <c r="AC279" s="2"/>
      <c r="AD279" s="2"/>
      <c r="AE279" s="2"/>
    </row>
    <row r="280">
      <c r="B280" s="1"/>
      <c r="C280" s="2"/>
      <c r="D280" s="2"/>
      <c r="E280" s="11">
        <f t="shared" ref="E280:I280" si="81">NORMINV(rand(),0, 1)</f>
        <v>0.7761656612</v>
      </c>
      <c r="F280" s="10">
        <f t="shared" si="81"/>
        <v>-1.177377522</v>
      </c>
      <c r="G280" s="10">
        <f t="shared" si="81"/>
        <v>-0.1400033186</v>
      </c>
      <c r="H280" s="10">
        <f t="shared" si="81"/>
        <v>-2.392812188</v>
      </c>
      <c r="I280" s="12">
        <f t="shared" si="81"/>
        <v>0.03668237482</v>
      </c>
      <c r="J280" s="2"/>
      <c r="K280" s="2"/>
      <c r="L280" s="10"/>
      <c r="M280" s="10"/>
      <c r="N280" s="10"/>
      <c r="O280" s="18"/>
      <c r="P280" s="10"/>
      <c r="Q280" s="10"/>
      <c r="R280" s="10"/>
      <c r="S280" s="10"/>
      <c r="T280" s="10"/>
      <c r="U280" s="10"/>
      <c r="V280" s="192"/>
      <c r="W280" s="192"/>
      <c r="X280" s="192"/>
      <c r="Y280" s="192"/>
      <c r="Z280" s="192"/>
      <c r="AB280" s="2"/>
      <c r="AC280" s="2"/>
      <c r="AD280" s="2"/>
      <c r="AE280" s="2"/>
    </row>
    <row r="281">
      <c r="B281" s="1"/>
      <c r="C281" s="2"/>
      <c r="D281" s="2"/>
      <c r="E281" s="11">
        <f t="shared" ref="E281:I281" si="82">NORMINV(rand(),0, 1)</f>
        <v>-0.4796356234</v>
      </c>
      <c r="F281" s="10">
        <f t="shared" si="82"/>
        <v>-0.8556041491</v>
      </c>
      <c r="G281" s="10">
        <f t="shared" si="82"/>
        <v>0.4081052791</v>
      </c>
      <c r="H281" s="10">
        <f t="shared" si="82"/>
        <v>1.76639866</v>
      </c>
      <c r="I281" s="12">
        <f t="shared" si="82"/>
        <v>0.4051603306</v>
      </c>
      <c r="J281" s="2"/>
      <c r="K281" s="2"/>
      <c r="L281" s="10"/>
      <c r="M281" s="10"/>
      <c r="N281" s="10"/>
      <c r="O281" s="18"/>
      <c r="P281" s="10"/>
      <c r="Q281" s="10"/>
      <c r="R281" s="10"/>
      <c r="S281" s="10"/>
      <c r="T281" s="10"/>
      <c r="U281" s="10"/>
      <c r="V281" s="192"/>
      <c r="W281" s="192"/>
      <c r="X281" s="192"/>
      <c r="Y281" s="192"/>
      <c r="Z281" s="192"/>
      <c r="AB281" s="2"/>
      <c r="AC281" s="2"/>
      <c r="AD281" s="2"/>
      <c r="AE281" s="2"/>
    </row>
    <row r="282">
      <c r="B282" s="1"/>
      <c r="C282" s="2"/>
      <c r="D282" s="2"/>
      <c r="E282" s="11">
        <f t="shared" ref="E282:I282" si="83">NORMINV(rand(),0, 1)</f>
        <v>-0.4422787241</v>
      </c>
      <c r="F282" s="10">
        <f t="shared" si="83"/>
        <v>-0.1826886505</v>
      </c>
      <c r="G282" s="10">
        <f t="shared" si="83"/>
        <v>-1.777610982</v>
      </c>
      <c r="H282" s="10">
        <f t="shared" si="83"/>
        <v>-1.560563217</v>
      </c>
      <c r="I282" s="12">
        <f t="shared" si="83"/>
        <v>0.3136218342</v>
      </c>
      <c r="J282" s="2"/>
      <c r="K282" s="2"/>
      <c r="L282" s="10"/>
      <c r="M282" s="10"/>
      <c r="N282" s="10"/>
      <c r="O282" s="18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2"/>
      <c r="AB282" s="2"/>
      <c r="AC282" s="2"/>
      <c r="AD282" s="2"/>
      <c r="AE282" s="2"/>
    </row>
    <row r="283">
      <c r="B283" s="1"/>
      <c r="C283" s="2"/>
      <c r="D283" s="2"/>
      <c r="E283" s="11">
        <f t="shared" ref="E283:I283" si="84">NORMINV(rand(),0, 1)</f>
        <v>0.9317984865</v>
      </c>
      <c r="F283" s="10">
        <f t="shared" si="84"/>
        <v>-1.383944205</v>
      </c>
      <c r="G283" s="10">
        <f t="shared" si="84"/>
        <v>-0.9007320001</v>
      </c>
      <c r="H283" s="10">
        <f t="shared" si="84"/>
        <v>0.492025057</v>
      </c>
      <c r="I283" s="12">
        <f t="shared" si="84"/>
        <v>1.840931025</v>
      </c>
      <c r="J283" s="2"/>
      <c r="K283" s="2"/>
      <c r="L283" s="10"/>
      <c r="M283" s="10"/>
      <c r="N283" s="10"/>
      <c r="O283" s="18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2"/>
      <c r="AB283" s="2"/>
      <c r="AC283" s="2"/>
      <c r="AD283" s="2"/>
      <c r="AE283" s="2"/>
    </row>
    <row r="284">
      <c r="B284" s="1"/>
      <c r="C284" s="2"/>
      <c r="D284" s="2"/>
      <c r="E284" s="11">
        <f t="shared" ref="E284:I284" si="85">NORMINV(rand(),0, 1)</f>
        <v>-1.126322347</v>
      </c>
      <c r="F284" s="10">
        <f t="shared" si="85"/>
        <v>0.07641883287</v>
      </c>
      <c r="G284" s="10">
        <f t="shared" si="85"/>
        <v>-0.656742936</v>
      </c>
      <c r="H284" s="10">
        <f t="shared" si="85"/>
        <v>0.1231945757</v>
      </c>
      <c r="I284" s="12">
        <f t="shared" si="85"/>
        <v>-1.149878772</v>
      </c>
      <c r="J284" s="2"/>
      <c r="K284" s="2"/>
      <c r="L284" s="10"/>
      <c r="M284" s="10"/>
      <c r="N284" s="10"/>
      <c r="O284" s="18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2"/>
      <c r="AB284" s="2"/>
      <c r="AC284" s="2"/>
      <c r="AD284" s="2"/>
      <c r="AE284" s="2"/>
    </row>
    <row r="285">
      <c r="B285" s="1"/>
      <c r="C285" s="2"/>
      <c r="D285" s="2"/>
      <c r="E285" s="11">
        <f t="shared" ref="E285:I285" si="86">NORMINV(rand(),0, 1)</f>
        <v>1.226276295</v>
      </c>
      <c r="F285" s="10">
        <f t="shared" si="86"/>
        <v>-0.4694299156</v>
      </c>
      <c r="G285" s="10">
        <f t="shared" si="86"/>
        <v>-0.4143018171</v>
      </c>
      <c r="H285" s="10">
        <f t="shared" si="86"/>
        <v>-0.675393295</v>
      </c>
      <c r="I285" s="12">
        <f t="shared" si="86"/>
        <v>-1.649554369</v>
      </c>
      <c r="J285" s="2"/>
      <c r="K285" s="2"/>
      <c r="L285" s="10"/>
      <c r="M285" s="10"/>
      <c r="N285" s="10"/>
      <c r="O285" s="18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2"/>
      <c r="AB285" s="2"/>
      <c r="AC285" s="2"/>
      <c r="AD285" s="2"/>
      <c r="AE285" s="2"/>
    </row>
    <row r="286">
      <c r="B286" s="1"/>
      <c r="C286" s="2"/>
      <c r="D286" s="2"/>
      <c r="E286" s="11">
        <f t="shared" ref="E286:I286" si="87">NORMINV(rand(),0, 1)</f>
        <v>-0.3748713472</v>
      </c>
      <c r="F286" s="10">
        <f t="shared" si="87"/>
        <v>1.130836386</v>
      </c>
      <c r="G286" s="10">
        <f t="shared" si="87"/>
        <v>-0.5569567668</v>
      </c>
      <c r="H286" s="10">
        <f t="shared" si="87"/>
        <v>-0.4543759231</v>
      </c>
      <c r="I286" s="12">
        <f t="shared" si="87"/>
        <v>-0.1783848277</v>
      </c>
      <c r="J286" s="2"/>
      <c r="K286" s="2"/>
      <c r="L286" s="10"/>
      <c r="M286" s="10"/>
      <c r="N286" s="10"/>
      <c r="O286" s="18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2"/>
      <c r="AB286" s="2"/>
      <c r="AC286" s="2"/>
      <c r="AD286" s="2"/>
      <c r="AE286" s="2"/>
    </row>
    <row r="287">
      <c r="B287" s="1"/>
      <c r="C287" s="2"/>
      <c r="D287" s="2"/>
      <c r="E287" s="11">
        <f t="shared" ref="E287:I287" si="88">NORMINV(rand(),0, 1)</f>
        <v>-1.677831608</v>
      </c>
      <c r="F287" s="10">
        <f t="shared" si="88"/>
        <v>-1.191592226</v>
      </c>
      <c r="G287" s="10">
        <f t="shared" si="88"/>
        <v>-0.5911267589</v>
      </c>
      <c r="H287" s="10">
        <f t="shared" si="88"/>
        <v>0.1994275471</v>
      </c>
      <c r="I287" s="12">
        <f t="shared" si="88"/>
        <v>0.1657924869</v>
      </c>
      <c r="J287" s="2"/>
      <c r="K287" s="2"/>
      <c r="L287" s="10"/>
      <c r="M287" s="10"/>
      <c r="N287" s="10"/>
      <c r="O287" s="18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2"/>
      <c r="AB287" s="2"/>
      <c r="AC287" s="2"/>
      <c r="AD287" s="2"/>
      <c r="AE287" s="2"/>
    </row>
    <row r="288">
      <c r="B288" s="1"/>
      <c r="C288" s="2"/>
      <c r="D288" s="2"/>
      <c r="E288" s="11">
        <f t="shared" ref="E288:I288" si="89">NORMINV(rand(),0, 1)</f>
        <v>-0.192265557</v>
      </c>
      <c r="F288" s="10">
        <f t="shared" si="89"/>
        <v>0.001502163803</v>
      </c>
      <c r="G288" s="10">
        <f t="shared" si="89"/>
        <v>-0.5802964759</v>
      </c>
      <c r="H288" s="10">
        <f t="shared" si="89"/>
        <v>0.3421111061</v>
      </c>
      <c r="I288" s="12">
        <f t="shared" si="89"/>
        <v>1.35781523</v>
      </c>
      <c r="J288" s="2"/>
      <c r="K288" s="2"/>
      <c r="L288" s="10"/>
      <c r="M288" s="10"/>
      <c r="N288" s="10"/>
      <c r="O288" s="18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2"/>
      <c r="AB288" s="2"/>
      <c r="AC288" s="2"/>
      <c r="AD288" s="2"/>
      <c r="AE288" s="2"/>
    </row>
    <row r="289">
      <c r="B289" s="1"/>
      <c r="C289" s="2"/>
      <c r="D289" s="2"/>
      <c r="E289" s="13">
        <f t="shared" ref="E289:I289" si="90">NORMINV(rand(),0, 1)</f>
        <v>1.73238467</v>
      </c>
      <c r="F289" s="14">
        <f t="shared" si="90"/>
        <v>-0.852624739</v>
      </c>
      <c r="G289" s="14">
        <f t="shared" si="90"/>
        <v>1.309012651</v>
      </c>
      <c r="H289" s="14">
        <f t="shared" si="90"/>
        <v>0.608554814</v>
      </c>
      <c r="I289" s="15">
        <f t="shared" si="90"/>
        <v>-0.3950960408</v>
      </c>
      <c r="J289" s="2"/>
      <c r="K289" s="2"/>
      <c r="L289" s="2"/>
      <c r="M289" s="2"/>
      <c r="N289" s="2"/>
      <c r="O289" s="3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47" t="s">
        <v>63</v>
      </c>
      <c r="AA291" s="48"/>
      <c r="AB291" s="48"/>
      <c r="AC291" s="48"/>
      <c r="AD291" s="48"/>
      <c r="AE291" s="48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B293" s="1"/>
      <c r="C293" s="2"/>
      <c r="D293" s="2"/>
      <c r="E293" s="2"/>
      <c r="F293" s="2"/>
      <c r="G293" s="2"/>
      <c r="H293" s="2"/>
      <c r="L293" s="6" t="s">
        <v>2</v>
      </c>
      <c r="M293" s="7">
        <f t="array" ref="M293:Q297">$J$14:$N$18</f>
        <v>0.602311076</v>
      </c>
      <c r="N293" s="8">
        <v>0.3919418073167533</v>
      </c>
      <c r="O293" s="8">
        <v>-0.48389421468512284</v>
      </c>
      <c r="P293" s="8">
        <v>-0.7885378464146406</v>
      </c>
      <c r="Q293" s="9">
        <v>0.743677023526336</v>
      </c>
      <c r="U293" s="2"/>
      <c r="X293" s="34" t="s">
        <v>28</v>
      </c>
      <c r="Y293" s="49">
        <v>0.0</v>
      </c>
      <c r="Z293" s="50">
        <v>-99.0</v>
      </c>
      <c r="AA293" s="50">
        <v>-99.0</v>
      </c>
      <c r="AB293" s="50">
        <v>-99.0</v>
      </c>
      <c r="AC293" s="51">
        <v>-99.0</v>
      </c>
      <c r="AD293" s="57"/>
      <c r="AE293" s="57"/>
    </row>
    <row r="294">
      <c r="B294" s="1"/>
      <c r="C294" s="2"/>
      <c r="D294" s="2"/>
      <c r="E294" s="2"/>
      <c r="F294" s="2"/>
      <c r="G294" s="2"/>
      <c r="H294" s="2"/>
      <c r="L294" s="6" t="s">
        <v>3</v>
      </c>
      <c r="M294" s="11">
        <v>-0.12666791834018415</v>
      </c>
      <c r="N294" s="10">
        <v>0.7077432219287846</v>
      </c>
      <c r="O294" s="10">
        <v>0.3576456907713019</v>
      </c>
      <c r="P294" s="10">
        <v>-0.11609091747919258</v>
      </c>
      <c r="Q294" s="12">
        <v>0.213684671578444</v>
      </c>
      <c r="U294" s="2"/>
      <c r="X294" s="34" t="s">
        <v>31</v>
      </c>
      <c r="Y294" s="55">
        <v>0.0</v>
      </c>
      <c r="Z294" s="56">
        <v>0.0</v>
      </c>
      <c r="AA294" s="57">
        <v>-99.0</v>
      </c>
      <c r="AB294" s="57">
        <v>-99.0</v>
      </c>
      <c r="AC294" s="58">
        <v>-99.0</v>
      </c>
      <c r="AD294" s="57"/>
      <c r="AE294" s="57"/>
    </row>
    <row r="295">
      <c r="B295" s="1"/>
      <c r="C295" s="2"/>
      <c r="D295" s="2"/>
      <c r="E295" s="100"/>
      <c r="F295" s="100"/>
      <c r="G295" s="100" t="s">
        <v>41</v>
      </c>
      <c r="H295" s="100" t="s">
        <v>41</v>
      </c>
      <c r="I295" s="100" t="s">
        <v>41</v>
      </c>
      <c r="J295" s="100" t="s">
        <v>41</v>
      </c>
      <c r="K295" s="100" t="s">
        <v>41</v>
      </c>
      <c r="L295" s="100" t="s">
        <v>41</v>
      </c>
      <c r="M295" s="11">
        <v>-0.8170491227254827</v>
      </c>
      <c r="N295" s="10">
        <v>1.1812065113373647</v>
      </c>
      <c r="O295" s="10">
        <v>-0.8715015174539364</v>
      </c>
      <c r="P295" s="10">
        <v>0.592896729358582</v>
      </c>
      <c r="Q295" s="12">
        <v>1.4092254924676608</v>
      </c>
      <c r="R295" s="101" t="s">
        <v>8</v>
      </c>
      <c r="S295" s="101" t="s">
        <v>8</v>
      </c>
      <c r="T295" s="101" t="s">
        <v>8</v>
      </c>
      <c r="U295" s="101" t="s">
        <v>8</v>
      </c>
      <c r="V295" s="101" t="s">
        <v>8</v>
      </c>
      <c r="W295" s="101" t="s">
        <v>8</v>
      </c>
      <c r="X295" s="41"/>
      <c r="Y295" s="55">
        <v>0.0</v>
      </c>
      <c r="Z295" s="56">
        <v>0.0</v>
      </c>
      <c r="AA295" s="56">
        <v>0.0</v>
      </c>
      <c r="AB295" s="57">
        <v>-99.0</v>
      </c>
      <c r="AC295" s="58">
        <v>-99.0</v>
      </c>
      <c r="AD295" s="57"/>
      <c r="AE295" s="57"/>
    </row>
    <row r="296">
      <c r="B296" s="1"/>
      <c r="C296" s="2"/>
      <c r="D296" s="2"/>
      <c r="F296" s="2"/>
      <c r="G296" s="21" t="s">
        <v>4</v>
      </c>
      <c r="H296" s="2"/>
      <c r="L296" s="1"/>
      <c r="M296" s="11">
        <v>0.46499451517565493</v>
      </c>
      <c r="N296" s="10">
        <v>-0.28497097872606425</v>
      </c>
      <c r="O296" s="10">
        <v>0.6515113924424661</v>
      </c>
      <c r="P296" s="10">
        <v>0.9121045396513038</v>
      </c>
      <c r="Q296" s="12">
        <v>0.5718877219783896</v>
      </c>
      <c r="U296" s="21"/>
      <c r="W296" s="21" t="s">
        <v>4</v>
      </c>
      <c r="X296" s="41"/>
      <c r="Y296" s="55">
        <v>0.0</v>
      </c>
      <c r="Z296" s="56">
        <v>0.0</v>
      </c>
      <c r="AA296" s="56">
        <v>0.0</v>
      </c>
      <c r="AB296" s="56">
        <v>0.0</v>
      </c>
      <c r="AC296" s="58">
        <v>-99.0</v>
      </c>
      <c r="AD296" s="57"/>
      <c r="AE296" s="57"/>
    </row>
    <row r="297">
      <c r="B297" s="1"/>
      <c r="C297" s="2"/>
      <c r="D297" s="2"/>
      <c r="F297" s="2"/>
      <c r="G297" s="21" t="s">
        <v>4</v>
      </c>
      <c r="H297" s="2"/>
      <c r="L297" s="1"/>
      <c r="M297" s="13">
        <v>-0.04556458771505738</v>
      </c>
      <c r="N297" s="14">
        <v>-0.7552642420957864</v>
      </c>
      <c r="O297" s="14">
        <v>-0.4383460488493433</v>
      </c>
      <c r="P297" s="14">
        <v>1.3690164148778667</v>
      </c>
      <c r="Q297" s="15">
        <v>0.6921350372977554</v>
      </c>
      <c r="U297" s="21"/>
      <c r="W297" s="21" t="s">
        <v>4</v>
      </c>
      <c r="X297" s="41"/>
      <c r="Y297" s="62">
        <v>0.0</v>
      </c>
      <c r="Z297" s="63">
        <v>0.0</v>
      </c>
      <c r="AA297" s="63">
        <v>0.0</v>
      </c>
      <c r="AB297" s="63">
        <v>0.0</v>
      </c>
      <c r="AC297" s="64">
        <v>0.0</v>
      </c>
      <c r="AD297" s="56"/>
      <c r="AE297" s="56"/>
    </row>
    <row r="298">
      <c r="B298" s="1"/>
      <c r="C298" s="2"/>
      <c r="D298" s="2"/>
      <c r="F298" s="2"/>
      <c r="G298" s="21" t="s">
        <v>4</v>
      </c>
      <c r="H298" s="2"/>
      <c r="J298" s="2"/>
      <c r="K298" s="2"/>
      <c r="L298" s="2"/>
      <c r="M298" s="2"/>
      <c r="N298" s="2"/>
      <c r="O298" s="3"/>
      <c r="P298" s="2"/>
      <c r="Q298" s="2"/>
      <c r="R298" s="2"/>
      <c r="S298" s="2"/>
      <c r="T298" s="2"/>
      <c r="U298" s="21"/>
      <c r="V298" s="2"/>
      <c r="W298" s="21" t="s">
        <v>4</v>
      </c>
      <c r="X298" s="2"/>
      <c r="Y298" s="2"/>
      <c r="Z298" s="2"/>
      <c r="AA298" s="2"/>
      <c r="AB298" s="2"/>
      <c r="AC298" s="2"/>
      <c r="AD298" s="2"/>
      <c r="AE298" s="2"/>
    </row>
    <row r="299">
      <c r="B299" s="1"/>
      <c r="C299" s="2"/>
      <c r="D299" s="2"/>
      <c r="F299" s="2"/>
      <c r="G299" s="21" t="s">
        <v>4</v>
      </c>
      <c r="H299" s="2"/>
      <c r="I299" s="66" t="s">
        <v>64</v>
      </c>
      <c r="J299" s="103">
        <f t="shared" ref="J299:N299" si="91">NORMINV(rand(),0, 1)</f>
        <v>-0.9087833169</v>
      </c>
      <c r="K299" s="104">
        <f t="shared" si="91"/>
        <v>-1.891418011</v>
      </c>
      <c r="L299" s="104">
        <f t="shared" si="91"/>
        <v>1.166522334</v>
      </c>
      <c r="M299" s="104">
        <f t="shared" si="91"/>
        <v>0.9360284708</v>
      </c>
      <c r="N299" s="105">
        <f t="shared" si="91"/>
        <v>1.261234352</v>
      </c>
      <c r="O299" s="2"/>
      <c r="P299" s="66" t="s">
        <v>11</v>
      </c>
      <c r="Q299" s="106"/>
      <c r="R299" s="107"/>
      <c r="S299" s="107"/>
      <c r="T299" s="107"/>
      <c r="U299" s="108"/>
      <c r="W299" s="21" t="s">
        <v>4</v>
      </c>
      <c r="X299" s="2"/>
      <c r="Y299" s="2"/>
      <c r="Z299" s="2"/>
      <c r="AA299" s="2"/>
      <c r="AB299" s="2"/>
      <c r="AC299" s="2"/>
      <c r="AD299" s="2"/>
      <c r="AE299" s="2"/>
    </row>
    <row r="300">
      <c r="G300" s="21" t="s">
        <v>4</v>
      </c>
      <c r="I300" s="66" t="s">
        <v>65</v>
      </c>
      <c r="J300" s="110">
        <f t="shared" ref="J300:N300" si="92">NORMINV(rand(),0, 1)</f>
        <v>-1.310801392</v>
      </c>
      <c r="K300" s="85">
        <f t="shared" si="92"/>
        <v>-0.8564804871</v>
      </c>
      <c r="L300" s="85">
        <f t="shared" si="92"/>
        <v>0.6123927888</v>
      </c>
      <c r="M300" s="85">
        <f t="shared" si="92"/>
        <v>-0.171195676</v>
      </c>
      <c r="N300" s="111">
        <f t="shared" si="92"/>
        <v>-1.154933928</v>
      </c>
      <c r="O300" s="2"/>
      <c r="P300" s="2"/>
      <c r="Q300" s="112"/>
      <c r="R300" s="109"/>
      <c r="S300" s="109"/>
      <c r="T300" s="109"/>
      <c r="U300" s="113"/>
      <c r="W300" s="21" t="s">
        <v>4</v>
      </c>
      <c r="X300" s="66"/>
      <c r="Y300" s="109"/>
      <c r="Z300" s="109"/>
      <c r="AA300" s="109"/>
      <c r="AB300" s="109"/>
      <c r="AC300" s="109"/>
      <c r="AD300" s="109"/>
      <c r="AE300" s="109"/>
    </row>
    <row r="301">
      <c r="G301" s="21" t="s">
        <v>4</v>
      </c>
      <c r="I301" s="41"/>
      <c r="J301" s="110">
        <f t="shared" ref="J301:N301" si="93">NORMINV(rand(),0, 1)</f>
        <v>-1.469085052</v>
      </c>
      <c r="K301" s="85">
        <f t="shared" si="93"/>
        <v>-0.8723472172</v>
      </c>
      <c r="L301" s="85">
        <f t="shared" si="93"/>
        <v>-1.226646582</v>
      </c>
      <c r="M301" s="85">
        <f t="shared" si="93"/>
        <v>-0.3534843563</v>
      </c>
      <c r="N301" s="111">
        <f t="shared" si="93"/>
        <v>0.9614395721</v>
      </c>
      <c r="O301" s="67" t="s">
        <v>8</v>
      </c>
      <c r="P301" s="67" t="s">
        <v>8</v>
      </c>
      <c r="Q301" s="112"/>
      <c r="R301" s="109"/>
      <c r="S301" s="109"/>
      <c r="T301" s="109"/>
      <c r="U301" s="113"/>
      <c r="V301" s="21" t="s">
        <v>41</v>
      </c>
      <c r="W301" s="21" t="s">
        <v>4</v>
      </c>
      <c r="X301" s="2"/>
      <c r="Y301" s="109"/>
      <c r="Z301" s="109"/>
      <c r="AA301" s="109"/>
      <c r="AB301" s="109"/>
      <c r="AC301" s="109"/>
      <c r="AD301" s="109"/>
      <c r="AE301" s="109"/>
    </row>
    <row r="302">
      <c r="G302" s="21" t="s">
        <v>4</v>
      </c>
      <c r="I302" s="41"/>
      <c r="J302" s="110">
        <f t="shared" ref="J302:N302" si="94">NORMINV(rand(),0, 1)</f>
        <v>-0.2953831655</v>
      </c>
      <c r="K302" s="85">
        <f t="shared" si="94"/>
        <v>1.132191108</v>
      </c>
      <c r="L302" s="85">
        <f t="shared" si="94"/>
        <v>-0.05058556442</v>
      </c>
      <c r="M302" s="85">
        <f t="shared" si="94"/>
        <v>-0.9429935016</v>
      </c>
      <c r="N302" s="111">
        <f t="shared" si="94"/>
        <v>0.8331631515</v>
      </c>
      <c r="O302" s="2"/>
      <c r="P302" s="2"/>
      <c r="Q302" s="112"/>
      <c r="R302" s="109"/>
      <c r="S302" s="109"/>
      <c r="T302" s="109"/>
      <c r="U302" s="113"/>
      <c r="W302" s="21" t="s">
        <v>4</v>
      </c>
      <c r="X302" s="67"/>
      <c r="Y302" s="109"/>
      <c r="Z302" s="109"/>
      <c r="AA302" s="109"/>
      <c r="AB302" s="109"/>
      <c r="AC302" s="109"/>
      <c r="AD302" s="109"/>
      <c r="AE302" s="109"/>
    </row>
    <row r="303">
      <c r="G303" s="21" t="s">
        <v>4</v>
      </c>
      <c r="I303" s="41"/>
      <c r="J303" s="114">
        <f t="shared" ref="J303:N303" si="95">NORMINV(rand(),0, 1)</f>
        <v>0.9084901104</v>
      </c>
      <c r="K303" s="115">
        <f t="shared" si="95"/>
        <v>-0.902354321</v>
      </c>
      <c r="L303" s="115">
        <f t="shared" si="95"/>
        <v>-1.500856079</v>
      </c>
      <c r="M303" s="115">
        <f t="shared" si="95"/>
        <v>0.4731630648</v>
      </c>
      <c r="N303" s="116">
        <f t="shared" si="95"/>
        <v>0.1472208064</v>
      </c>
      <c r="O303" s="2"/>
      <c r="Q303" s="117"/>
      <c r="R303" s="118"/>
      <c r="S303" s="118"/>
      <c r="T303" s="118"/>
      <c r="U303" s="119"/>
      <c r="W303" s="21" t="s">
        <v>4</v>
      </c>
      <c r="X303" s="2"/>
      <c r="Y303" s="109"/>
      <c r="Z303" s="109"/>
      <c r="AA303" s="109"/>
      <c r="AB303" s="109"/>
      <c r="AC303" s="109"/>
      <c r="AD303" s="109"/>
      <c r="AE303" s="109"/>
    </row>
    <row r="304">
      <c r="G304" s="21" t="s">
        <v>4</v>
      </c>
      <c r="I304" s="1"/>
      <c r="J304" s="2"/>
      <c r="K304" s="2"/>
      <c r="L304" s="2"/>
      <c r="M304" s="2"/>
      <c r="N304" s="2"/>
      <c r="O304" s="2"/>
      <c r="W304" s="21" t="s">
        <v>4</v>
      </c>
      <c r="Y304" s="109"/>
      <c r="Z304" s="109"/>
      <c r="AA304" s="109"/>
      <c r="AB304" s="109"/>
      <c r="AC304" s="109"/>
      <c r="AD304" s="109"/>
      <c r="AE304" s="109"/>
    </row>
    <row r="305">
      <c r="G305" s="21" t="s">
        <v>4</v>
      </c>
      <c r="I305" s="66" t="s">
        <v>64</v>
      </c>
      <c r="J305" s="103">
        <f t="shared" ref="J305:N305" si="96">NORMINV(rand(),0, 1)</f>
        <v>0.9704907113</v>
      </c>
      <c r="K305" s="104">
        <f t="shared" si="96"/>
        <v>-0.1220265184</v>
      </c>
      <c r="L305" s="104">
        <f t="shared" si="96"/>
        <v>-0.3213657916</v>
      </c>
      <c r="M305" s="104">
        <f t="shared" si="96"/>
        <v>-1.053045325</v>
      </c>
      <c r="N305" s="105">
        <f t="shared" si="96"/>
        <v>-0.9670270653</v>
      </c>
      <c r="O305" s="2"/>
      <c r="P305" s="66" t="s">
        <v>15</v>
      </c>
      <c r="Q305" s="106"/>
      <c r="R305" s="107"/>
      <c r="S305" s="107"/>
      <c r="T305" s="107"/>
      <c r="U305" s="108"/>
      <c r="W305" s="21" t="s">
        <v>4</v>
      </c>
    </row>
    <row r="306">
      <c r="G306" s="21" t="s">
        <v>4</v>
      </c>
      <c r="I306" s="66" t="s">
        <v>66</v>
      </c>
      <c r="J306" s="110">
        <f t="shared" ref="J306:N306" si="97">NORMINV(rand(),0, 1)</f>
        <v>-1.419896992</v>
      </c>
      <c r="K306" s="85">
        <f t="shared" si="97"/>
        <v>1.034086209</v>
      </c>
      <c r="L306" s="85">
        <f t="shared" si="97"/>
        <v>-1.713438058</v>
      </c>
      <c r="M306" s="85">
        <f t="shared" si="97"/>
        <v>0.9892542619</v>
      </c>
      <c r="N306" s="111">
        <f t="shared" si="97"/>
        <v>1.268825501</v>
      </c>
      <c r="O306" s="2"/>
      <c r="P306" s="2"/>
      <c r="Q306" s="112"/>
      <c r="R306" s="109"/>
      <c r="S306" s="109"/>
      <c r="T306" s="109"/>
      <c r="U306" s="113"/>
      <c r="W306" s="21" t="s">
        <v>4</v>
      </c>
      <c r="X306" s="66"/>
      <c r="Y306" s="109"/>
      <c r="Z306" s="109"/>
      <c r="AA306" s="109"/>
      <c r="AB306" s="109"/>
      <c r="AC306" s="109"/>
      <c r="AD306" s="109"/>
      <c r="AE306" s="109"/>
    </row>
    <row r="307">
      <c r="G307" s="21" t="s">
        <v>4</v>
      </c>
      <c r="I307" s="41"/>
      <c r="J307" s="110">
        <f t="shared" ref="J307:N307" si="98">NORMINV(rand(),0, 1)</f>
        <v>0.5874934094</v>
      </c>
      <c r="K307" s="85">
        <f t="shared" si="98"/>
        <v>0.2303409853</v>
      </c>
      <c r="L307" s="85">
        <f t="shared" si="98"/>
        <v>-0.2449181768</v>
      </c>
      <c r="M307" s="85">
        <f t="shared" si="98"/>
        <v>-1.425789521</v>
      </c>
      <c r="N307" s="111">
        <f t="shared" si="98"/>
        <v>0.4303399403</v>
      </c>
      <c r="O307" s="67" t="s">
        <v>8</v>
      </c>
      <c r="P307" s="67" t="s">
        <v>8</v>
      </c>
      <c r="Q307" s="112"/>
      <c r="R307" s="109"/>
      <c r="S307" s="109"/>
      <c r="T307" s="109"/>
      <c r="U307" s="113"/>
      <c r="V307" s="21" t="s">
        <v>41</v>
      </c>
      <c r="W307" s="21" t="s">
        <v>4</v>
      </c>
      <c r="X307" s="2"/>
      <c r="Y307" s="109"/>
      <c r="Z307" s="109"/>
      <c r="AA307" s="109"/>
      <c r="AB307" s="109"/>
      <c r="AC307" s="109"/>
      <c r="AD307" s="109"/>
      <c r="AE307" s="109"/>
    </row>
    <row r="308">
      <c r="G308" s="21" t="s">
        <v>4</v>
      </c>
      <c r="I308" s="41"/>
      <c r="J308" s="110">
        <f t="shared" ref="J308:N308" si="99">NORMINV(rand(),0, 1)</f>
        <v>1.601684888</v>
      </c>
      <c r="K308" s="85">
        <f t="shared" si="99"/>
        <v>0.004634540042</v>
      </c>
      <c r="L308" s="85">
        <f t="shared" si="99"/>
        <v>-0.1813915772</v>
      </c>
      <c r="M308" s="85">
        <f t="shared" si="99"/>
        <v>1.442424266</v>
      </c>
      <c r="N308" s="111">
        <f t="shared" si="99"/>
        <v>1.079206157</v>
      </c>
      <c r="O308" s="2"/>
      <c r="P308" s="2"/>
      <c r="Q308" s="112"/>
      <c r="R308" s="109"/>
      <c r="S308" s="109"/>
      <c r="T308" s="109"/>
      <c r="U308" s="113"/>
      <c r="W308" s="21" t="s">
        <v>4</v>
      </c>
      <c r="X308" s="67"/>
      <c r="Y308" s="109"/>
      <c r="Z308" s="109"/>
      <c r="AA308" s="109"/>
      <c r="AB308" s="109"/>
      <c r="AC308" s="109"/>
      <c r="AD308" s="109"/>
      <c r="AE308" s="109"/>
    </row>
    <row r="309">
      <c r="G309" s="21" t="s">
        <v>4</v>
      </c>
      <c r="I309" s="41"/>
      <c r="J309" s="114">
        <f t="shared" ref="J309:N309" si="100">NORMINV(rand(),0, 1)</f>
        <v>0.205216149</v>
      </c>
      <c r="K309" s="115">
        <f t="shared" si="100"/>
        <v>-0.7852137345</v>
      </c>
      <c r="L309" s="115">
        <f t="shared" si="100"/>
        <v>0.2082269754</v>
      </c>
      <c r="M309" s="115">
        <f t="shared" si="100"/>
        <v>-0.8184388721</v>
      </c>
      <c r="N309" s="116">
        <f t="shared" si="100"/>
        <v>-0.0698447827</v>
      </c>
      <c r="O309" s="2"/>
      <c r="Q309" s="117"/>
      <c r="R309" s="118"/>
      <c r="S309" s="118"/>
      <c r="T309" s="118"/>
      <c r="U309" s="119"/>
      <c r="W309" s="21" t="s">
        <v>4</v>
      </c>
      <c r="X309" s="2"/>
      <c r="Y309" s="109"/>
      <c r="Z309" s="109"/>
      <c r="AA309" s="109"/>
      <c r="AB309" s="109"/>
      <c r="AC309" s="109"/>
      <c r="AD309" s="109"/>
      <c r="AE309" s="109"/>
    </row>
    <row r="310">
      <c r="G310" s="21" t="s">
        <v>4</v>
      </c>
      <c r="O310" s="193"/>
      <c r="P310" s="2"/>
      <c r="Q310" s="41"/>
      <c r="R310" s="42"/>
      <c r="S310" s="42"/>
      <c r="T310" s="42"/>
      <c r="U310" s="42"/>
      <c r="V310" s="42"/>
      <c r="W310" s="21" t="s">
        <v>4</v>
      </c>
      <c r="Y310" s="109"/>
      <c r="Z310" s="109"/>
      <c r="AA310" s="109"/>
      <c r="AB310" s="109"/>
      <c r="AC310" s="109"/>
      <c r="AD310" s="109"/>
      <c r="AE310" s="109"/>
    </row>
    <row r="311">
      <c r="B311" s="1"/>
      <c r="C311" s="2"/>
      <c r="D311" s="2"/>
      <c r="E311" s="2"/>
      <c r="G311" s="21" t="s">
        <v>4</v>
      </c>
      <c r="L311" s="2"/>
      <c r="M311" s="68" t="s">
        <v>22</v>
      </c>
      <c r="N311" s="7" t="str">
        <f t="array" ref="N311">MMULT(TRANSPOSE(Q305:U309),Q299:U303) / 5^0.5</f>
        <v>#VALUE!</v>
      </c>
      <c r="O311" s="8"/>
      <c r="P311" s="8"/>
      <c r="Q311" s="8"/>
      <c r="R311" s="9"/>
      <c r="W311" s="21" t="s">
        <v>4</v>
      </c>
      <c r="AA311" s="2"/>
      <c r="AB311" s="2"/>
      <c r="AC311" s="2"/>
      <c r="AD311" s="2"/>
      <c r="AE311" s="2"/>
    </row>
    <row r="312">
      <c r="B312" s="1"/>
      <c r="C312" s="2"/>
      <c r="D312" s="2"/>
      <c r="E312" s="2"/>
      <c r="G312" s="21" t="s">
        <v>4</v>
      </c>
      <c r="L312" s="2"/>
      <c r="N312" s="11"/>
      <c r="O312" s="10"/>
      <c r="P312" s="10"/>
      <c r="Q312" s="10"/>
      <c r="R312" s="12"/>
      <c r="V312" s="10"/>
      <c r="W312" s="21" t="s">
        <v>4</v>
      </c>
      <c r="X312" s="10"/>
      <c r="Y312" s="10"/>
      <c r="Z312" s="10"/>
      <c r="AA312" s="2"/>
      <c r="AB312" s="2"/>
      <c r="AC312" s="2"/>
      <c r="AD312" s="2"/>
      <c r="AE312" s="2"/>
    </row>
    <row r="313">
      <c r="B313" s="1"/>
      <c r="C313" s="2"/>
      <c r="D313" s="2"/>
      <c r="E313" s="2"/>
      <c r="G313" s="21" t="s">
        <v>4</v>
      </c>
      <c r="L313" s="2"/>
      <c r="N313" s="11"/>
      <c r="O313" s="10"/>
      <c r="P313" s="10"/>
      <c r="Q313" s="10"/>
      <c r="R313" s="12"/>
      <c r="V313" s="10"/>
      <c r="W313" s="21" t="s">
        <v>4</v>
      </c>
      <c r="X313" s="10"/>
      <c r="Y313" s="10"/>
      <c r="Z313" s="10"/>
      <c r="AA313" s="2"/>
      <c r="AB313" s="2"/>
      <c r="AC313" s="2"/>
      <c r="AD313" s="2"/>
      <c r="AE313" s="2"/>
    </row>
    <row r="314">
      <c r="B314" s="1"/>
      <c r="C314" s="2"/>
      <c r="D314" s="2"/>
      <c r="E314" s="2"/>
      <c r="G314" s="21" t="s">
        <v>4</v>
      </c>
      <c r="L314" s="2"/>
      <c r="N314" s="11"/>
      <c r="O314" s="10"/>
      <c r="P314" s="10"/>
      <c r="Q314" s="10"/>
      <c r="R314" s="12"/>
      <c r="V314" s="10"/>
      <c r="W314" s="21" t="s">
        <v>4</v>
      </c>
      <c r="X314" s="10"/>
      <c r="Y314" s="10"/>
      <c r="Z314" s="10"/>
      <c r="AA314" s="2"/>
      <c r="AB314" s="2"/>
      <c r="AC314" s="2"/>
      <c r="AD314" s="2"/>
      <c r="AE314" s="2"/>
    </row>
    <row r="315">
      <c r="B315" s="1"/>
      <c r="C315" s="2"/>
      <c r="D315" s="2"/>
      <c r="E315" s="2"/>
      <c r="G315" s="21" t="s">
        <v>4</v>
      </c>
      <c r="L315" s="2"/>
      <c r="N315" s="13"/>
      <c r="O315" s="14"/>
      <c r="P315" s="14"/>
      <c r="Q315" s="14"/>
      <c r="R315" s="15"/>
      <c r="V315" s="10"/>
      <c r="W315" s="21" t="s">
        <v>4</v>
      </c>
      <c r="X315" s="10"/>
      <c r="Y315" s="10"/>
      <c r="Z315" s="10"/>
      <c r="AA315" s="2"/>
      <c r="AB315" s="2"/>
      <c r="AC315" s="2"/>
      <c r="AD315" s="2"/>
      <c r="AE315" s="2"/>
    </row>
    <row r="316">
      <c r="B316" s="1"/>
      <c r="C316" s="2"/>
      <c r="D316" s="2"/>
      <c r="E316" s="2"/>
      <c r="G316" s="21" t="s">
        <v>4</v>
      </c>
      <c r="L316" s="2"/>
      <c r="M316" s="2"/>
      <c r="N316" s="2"/>
      <c r="O316" s="2"/>
      <c r="P316" s="98" t="s">
        <v>4</v>
      </c>
      <c r="Q316" s="2"/>
      <c r="R316" s="2"/>
      <c r="V316" s="10"/>
      <c r="W316" s="21" t="s">
        <v>4</v>
      </c>
      <c r="X316" s="10"/>
      <c r="Y316" s="10"/>
      <c r="Z316" s="10"/>
      <c r="AA316" s="2"/>
      <c r="AB316" s="2"/>
      <c r="AC316" s="2"/>
      <c r="AD316" s="2"/>
      <c r="AE316" s="2"/>
    </row>
    <row r="317">
      <c r="B317" s="1"/>
      <c r="C317" s="2"/>
      <c r="D317" s="2"/>
      <c r="E317" s="2"/>
      <c r="G317" s="21" t="s">
        <v>4</v>
      </c>
      <c r="L317" s="2"/>
      <c r="M317" s="2"/>
      <c r="N317" s="2"/>
      <c r="O317" s="2"/>
      <c r="P317" s="98" t="s">
        <v>4</v>
      </c>
      <c r="Q317" s="2"/>
      <c r="R317" s="2"/>
      <c r="V317" s="2"/>
      <c r="W317" s="21" t="s">
        <v>4</v>
      </c>
      <c r="X317" s="98"/>
      <c r="Y317" s="2"/>
      <c r="Z317" s="2"/>
      <c r="AA317" s="2"/>
      <c r="AB317" s="2"/>
      <c r="AC317" s="2"/>
      <c r="AD317" s="2"/>
      <c r="AE317" s="2"/>
    </row>
    <row r="318">
      <c r="B318" s="1"/>
      <c r="C318" s="2"/>
      <c r="D318" s="2"/>
      <c r="E318" s="2"/>
      <c r="G318" s="21" t="s">
        <v>4</v>
      </c>
      <c r="L318" s="2"/>
      <c r="M318" s="34" t="s">
        <v>37</v>
      </c>
      <c r="N318" s="173" t="str">
        <f t="shared" ref="N318:R318" si="101">EXP(N311+Y293)/SUMPRODUCT(EXP($N311:$R311+$Y293:$AC293))
</f>
        <v>#VALUE!</v>
      </c>
      <c r="O318" s="174" t="str">
        <f t="shared" si="101"/>
        <v>#VALUE!</v>
      </c>
      <c r="P318" s="174" t="str">
        <f t="shared" si="101"/>
        <v>#VALUE!</v>
      </c>
      <c r="Q318" s="174" t="str">
        <f t="shared" si="101"/>
        <v>#VALUE!</v>
      </c>
      <c r="R318" s="175" t="str">
        <f t="shared" si="101"/>
        <v>#VALUE!</v>
      </c>
      <c r="V318" s="2"/>
      <c r="W318" s="21" t="s">
        <v>4</v>
      </c>
      <c r="X318" s="98"/>
      <c r="Y318" s="2"/>
      <c r="Z318" s="2"/>
      <c r="AA318" s="2"/>
      <c r="AB318" s="2"/>
      <c r="AC318" s="2"/>
      <c r="AD318" s="2"/>
      <c r="AE318" s="2"/>
    </row>
    <row r="319">
      <c r="B319" s="1"/>
      <c r="C319" s="2"/>
      <c r="D319" s="2"/>
      <c r="E319" s="2"/>
      <c r="G319" s="21" t="s">
        <v>4</v>
      </c>
      <c r="L319" s="2"/>
      <c r="M319" s="34" t="s">
        <v>35</v>
      </c>
      <c r="N319" s="176">
        <f t="shared" ref="N319:R319" si="102">EXP(N312+Y294)/SUMPRODUCT(EXP($N312:$R312+$Y294:$AC294))
</f>
        <v>0.5</v>
      </c>
      <c r="O319" s="177">
        <f t="shared" si="102"/>
        <v>0.5</v>
      </c>
      <c r="P319" s="177">
        <f t="shared" si="102"/>
        <v>0</v>
      </c>
      <c r="Q319" s="177">
        <f t="shared" si="102"/>
        <v>0</v>
      </c>
      <c r="R319" s="178">
        <f t="shared" si="102"/>
        <v>0</v>
      </c>
      <c r="V319" s="177"/>
      <c r="W319" s="21" t="s">
        <v>4</v>
      </c>
      <c r="X319" s="177"/>
      <c r="Y319" s="177"/>
      <c r="Z319" s="177"/>
      <c r="AA319" s="2"/>
      <c r="AB319" s="2"/>
      <c r="AC319" s="2"/>
      <c r="AD319" s="2"/>
      <c r="AE319" s="2"/>
    </row>
    <row r="320">
      <c r="B320" s="1"/>
      <c r="C320" s="2"/>
      <c r="D320" s="2"/>
      <c r="E320" s="2"/>
      <c r="G320" s="21" t="s">
        <v>4</v>
      </c>
      <c r="L320" s="2"/>
      <c r="M320" s="67"/>
      <c r="N320" s="176">
        <f t="shared" ref="N320:R320" si="103">EXP(N313+Y295)/SUMPRODUCT(EXP($N313:$R313+$Y295:$AC295))
</f>
        <v>0.3333333333</v>
      </c>
      <c r="O320" s="177">
        <f t="shared" si="103"/>
        <v>0.3333333333</v>
      </c>
      <c r="P320" s="177">
        <f t="shared" si="103"/>
        <v>0.3333333333</v>
      </c>
      <c r="Q320" s="177">
        <f t="shared" si="103"/>
        <v>0</v>
      </c>
      <c r="R320" s="178">
        <f t="shared" si="103"/>
        <v>0</v>
      </c>
      <c r="V320" s="177"/>
      <c r="W320" s="21" t="s">
        <v>4</v>
      </c>
      <c r="X320" s="177"/>
      <c r="Y320" s="177"/>
      <c r="Z320" s="177"/>
      <c r="AA320" s="2"/>
      <c r="AB320" s="2"/>
      <c r="AC320" s="2"/>
      <c r="AD320" s="2"/>
      <c r="AE320" s="2"/>
    </row>
    <row r="321">
      <c r="B321" s="1"/>
      <c r="C321" s="2"/>
      <c r="D321" s="2"/>
      <c r="E321" s="2"/>
      <c r="G321" s="21" t="s">
        <v>4</v>
      </c>
      <c r="L321" s="2"/>
      <c r="M321" s="94"/>
      <c r="N321" s="176">
        <f t="shared" ref="N321:R321" si="104">EXP(N314+Y296)/SUMPRODUCT(EXP($N314:$R314+$Y296:$AC296))
</f>
        <v>0.25</v>
      </c>
      <c r="O321" s="177">
        <f t="shared" si="104"/>
        <v>0.25</v>
      </c>
      <c r="P321" s="177">
        <f t="shared" si="104"/>
        <v>0.25</v>
      </c>
      <c r="Q321" s="177">
        <f t="shared" si="104"/>
        <v>0.25</v>
      </c>
      <c r="R321" s="178">
        <f t="shared" si="104"/>
        <v>0</v>
      </c>
      <c r="V321" s="177"/>
      <c r="W321" s="21" t="s">
        <v>4</v>
      </c>
      <c r="X321" s="177"/>
      <c r="Y321" s="177"/>
      <c r="Z321" s="177"/>
      <c r="AA321" s="2"/>
      <c r="AB321" s="2"/>
      <c r="AC321" s="2"/>
      <c r="AD321" s="2"/>
      <c r="AE321" s="2"/>
    </row>
    <row r="322">
      <c r="B322" s="1"/>
      <c r="C322" s="2"/>
      <c r="D322" s="2"/>
      <c r="E322" s="2"/>
      <c r="G322" s="21" t="s">
        <v>4</v>
      </c>
      <c r="L322" s="2"/>
      <c r="M322" s="41"/>
      <c r="N322" s="179">
        <f t="shared" ref="N322:R322" si="105">EXP(N315+Y297)/SUMPRODUCT(EXP($N315:$R315+$Y297:$AC297))
</f>
        <v>0.2</v>
      </c>
      <c r="O322" s="180">
        <f t="shared" si="105"/>
        <v>0.2</v>
      </c>
      <c r="P322" s="180">
        <f t="shared" si="105"/>
        <v>0.2</v>
      </c>
      <c r="Q322" s="180">
        <f t="shared" si="105"/>
        <v>0.2</v>
      </c>
      <c r="R322" s="181">
        <f t="shared" si="105"/>
        <v>0.2</v>
      </c>
      <c r="V322" s="177"/>
      <c r="W322" s="21" t="s">
        <v>4</v>
      </c>
      <c r="X322" s="177"/>
      <c r="Y322" s="177"/>
      <c r="Z322" s="177"/>
      <c r="AA322" s="2"/>
      <c r="AB322" s="2"/>
      <c r="AC322" s="2"/>
      <c r="AD322" s="2"/>
      <c r="AE322" s="2"/>
    </row>
    <row r="323">
      <c r="B323" s="1"/>
      <c r="C323" s="2"/>
      <c r="D323" s="2"/>
      <c r="E323" s="2"/>
      <c r="G323" s="21" t="s">
        <v>4</v>
      </c>
      <c r="L323" s="2"/>
      <c r="M323" s="2"/>
      <c r="N323" s="2"/>
      <c r="O323" s="3"/>
      <c r="P323" s="2"/>
      <c r="Q323" s="2"/>
      <c r="R323" s="2"/>
      <c r="S323" s="2"/>
      <c r="T323" s="2"/>
      <c r="U323" s="2"/>
      <c r="V323" s="177"/>
      <c r="W323" s="21" t="s">
        <v>4</v>
      </c>
      <c r="X323" s="177"/>
      <c r="Y323" s="177"/>
      <c r="Z323" s="177"/>
      <c r="AA323" s="2"/>
      <c r="AB323" s="2"/>
      <c r="AC323" s="2"/>
      <c r="AD323" s="2"/>
      <c r="AE323" s="2"/>
    </row>
    <row r="324">
      <c r="B324" s="1"/>
      <c r="C324" s="2"/>
      <c r="D324" s="2"/>
      <c r="F324" s="2"/>
      <c r="G324" s="21" t="s">
        <v>4</v>
      </c>
      <c r="H324" s="2"/>
      <c r="I324" s="2"/>
      <c r="J324" s="2"/>
      <c r="K324" s="2"/>
      <c r="L324" s="2"/>
      <c r="M324" s="2"/>
      <c r="N324" s="2"/>
      <c r="O324" s="193"/>
      <c r="P324" s="2"/>
      <c r="Q324" s="1"/>
      <c r="R324" s="2"/>
      <c r="S324" s="2"/>
      <c r="T324" s="2"/>
      <c r="U324" s="2"/>
      <c r="V324" s="2"/>
      <c r="W324" s="21" t="s">
        <v>4</v>
      </c>
      <c r="X324" s="2"/>
      <c r="Y324" s="2"/>
      <c r="Z324" s="2"/>
      <c r="AA324" s="2"/>
      <c r="AB324" s="2"/>
      <c r="AC324" s="2"/>
      <c r="AD324" s="2"/>
      <c r="AE324" s="2"/>
    </row>
    <row r="325">
      <c r="B325" s="66" t="s">
        <v>42</v>
      </c>
      <c r="C325" s="120">
        <f t="shared" ref="C325:G325" si="106">NORMINV(rand(),0, 1)</f>
        <v>0.6273949572</v>
      </c>
      <c r="D325" s="121">
        <f t="shared" si="106"/>
        <v>2.071747411</v>
      </c>
      <c r="E325" s="122">
        <f t="shared" si="106"/>
        <v>-0.1078816388</v>
      </c>
      <c r="F325" s="123">
        <f t="shared" si="106"/>
        <v>-0.6445319158</v>
      </c>
      <c r="G325" s="124">
        <f t="shared" si="106"/>
        <v>-1.698891181</v>
      </c>
      <c r="H325" s="2"/>
      <c r="I325" s="66" t="s">
        <v>43</v>
      </c>
      <c r="J325" s="125">
        <f t="array" ref="J325:N329">MMULT(C325:G329,$M$203:$Q$207)</f>
        <v>-0.0186869313</v>
      </c>
      <c r="K325" s="126">
        <v>3.0515216577199435</v>
      </c>
      <c r="L325" s="127">
        <v>0.8561601062615518</v>
      </c>
      <c r="M325" s="128">
        <v>-3.7128887966521913</v>
      </c>
      <c r="N325" s="129">
        <v>-0.7872116758685435</v>
      </c>
      <c r="O325" s="102"/>
      <c r="P325" s="2"/>
      <c r="Q325" s="66" t="s">
        <v>44</v>
      </c>
      <c r="R325" s="120">
        <f t="shared" ref="R325:V325" si="107">NORMINV(rand(),0, 1)</f>
        <v>-0.5081037655</v>
      </c>
      <c r="S325" s="121">
        <f t="shared" si="107"/>
        <v>-0.7417356328</v>
      </c>
      <c r="T325" s="122">
        <f t="shared" si="107"/>
        <v>-0.2561616543</v>
      </c>
      <c r="U325" s="123">
        <f t="shared" si="107"/>
        <v>-0.8722598552</v>
      </c>
      <c r="V325" s="124">
        <f t="shared" si="107"/>
        <v>-0.8732580483</v>
      </c>
      <c r="W325" s="2"/>
      <c r="X325" s="66" t="s">
        <v>45</v>
      </c>
      <c r="Y325" s="125">
        <f t="array" ref="Y325:AC329">MMULT(R325:V329,$M$203:$Q$207)</f>
        <v>-0.3685921677</v>
      </c>
      <c r="Z325" s="126">
        <v>-0.11857596618045896</v>
      </c>
      <c r="AA325" s="127">
        <v>0.018337172568960947</v>
      </c>
      <c r="AB325" s="128">
        <v>-1.6562063640637539</v>
      </c>
      <c r="AC325" s="129">
        <v>-2.0005993579088504</v>
      </c>
      <c r="AD325" s="131"/>
      <c r="AE325" s="131"/>
    </row>
    <row r="326">
      <c r="B326" s="66" t="s">
        <v>7</v>
      </c>
      <c r="C326" s="130">
        <f t="shared" ref="C326:G326" si="108">NORMINV(rand(),0, 1)</f>
        <v>-0.0748522561</v>
      </c>
      <c r="D326" s="132">
        <f t="shared" si="108"/>
        <v>0.440963144</v>
      </c>
      <c r="E326" s="133">
        <f t="shared" si="108"/>
        <v>-0.1885941786</v>
      </c>
      <c r="F326" s="134">
        <f t="shared" si="108"/>
        <v>0.2782049714</v>
      </c>
      <c r="G326" s="135">
        <f t="shared" si="108"/>
        <v>0.3898986253</v>
      </c>
      <c r="H326" s="2"/>
      <c r="I326" s="41"/>
      <c r="J326" s="136">
        <v>0.16474869740738435</v>
      </c>
      <c r="K326" s="137">
        <v>-0.3137745567031621</v>
      </c>
      <c r="L326" s="138">
        <v>0.3686324411819255</v>
      </c>
      <c r="M326" s="139">
        <v>0.683544784824728</v>
      </c>
      <c r="N326" s="140">
        <v>0.20175394436418032</v>
      </c>
      <c r="O326" s="102"/>
      <c r="P326" s="2"/>
      <c r="Q326" s="66" t="s">
        <v>7</v>
      </c>
      <c r="R326" s="130">
        <f t="shared" ref="R326:V326" si="109">NORMINV(rand(),0, 1)</f>
        <v>-1.164403989</v>
      </c>
      <c r="S326" s="132">
        <f t="shared" si="109"/>
        <v>-1.762596404</v>
      </c>
      <c r="T326" s="133">
        <f t="shared" si="109"/>
        <v>-0.231528262</v>
      </c>
      <c r="U326" s="134">
        <f t="shared" si="109"/>
        <v>1.064899951</v>
      </c>
      <c r="V326" s="135">
        <f t="shared" si="109"/>
        <v>-0.3151147971</v>
      </c>
      <c r="W326" s="2"/>
      <c r="X326" s="41"/>
      <c r="Y326" s="136">
        <v>0.2206316730928998</v>
      </c>
      <c r="Z326" s="137">
        <v>-2.0427975953672317</v>
      </c>
      <c r="AA326" s="138">
        <v>0.9667643530206635</v>
      </c>
      <c r="AB326" s="139">
        <v>1.5254284477743354</v>
      </c>
      <c r="AC326" s="140">
        <v>-1.177954640770021</v>
      </c>
      <c r="AD326" s="141"/>
      <c r="AE326" s="141"/>
    </row>
    <row r="327">
      <c r="B327" s="41"/>
      <c r="C327" s="142">
        <f t="shared" ref="C327:G327" si="110">NORMINV(rand(),0, 1)</f>
        <v>-1.526739401</v>
      </c>
      <c r="D327" s="143">
        <f t="shared" si="110"/>
        <v>-0.9150496383</v>
      </c>
      <c r="E327" s="88">
        <f t="shared" si="110"/>
        <v>-1.035499225</v>
      </c>
      <c r="F327" s="144">
        <f t="shared" si="110"/>
        <v>1.691928832</v>
      </c>
      <c r="G327" s="145">
        <f t="shared" si="110"/>
        <v>2.028175202</v>
      </c>
      <c r="H327" s="67" t="s">
        <v>8</v>
      </c>
      <c r="I327" s="67" t="s">
        <v>8</v>
      </c>
      <c r="J327" s="146">
        <v>0.7367137752244888</v>
      </c>
      <c r="K327" s="147">
        <v>-4.483110428150875</v>
      </c>
      <c r="L327" s="148">
        <v>1.5272242725920837</v>
      </c>
      <c r="M327" s="149">
        <v>5.01599775869708</v>
      </c>
      <c r="N327" s="150">
        <v>-0.41882055608164825</v>
      </c>
      <c r="O327" s="102"/>
      <c r="P327" s="2"/>
      <c r="Q327" s="41"/>
      <c r="R327" s="142">
        <f t="shared" ref="R327:V327" si="111">NORMINV(rand(),0, 1)</f>
        <v>-0.06435376232</v>
      </c>
      <c r="S327" s="143">
        <f t="shared" si="111"/>
        <v>-1.364692293</v>
      </c>
      <c r="T327" s="88">
        <f t="shared" si="111"/>
        <v>-0.3518415479</v>
      </c>
      <c r="U327" s="144">
        <f t="shared" si="111"/>
        <v>-0.1192141113</v>
      </c>
      <c r="V327" s="145">
        <f t="shared" si="111"/>
        <v>-0.2999446132</v>
      </c>
      <c r="W327" s="67" t="s">
        <v>8</v>
      </c>
      <c r="X327" s="67" t="s">
        <v>8</v>
      </c>
      <c r="Y327" s="146">
        <v>0.37980652094455364</v>
      </c>
      <c r="Z327" s="147">
        <v>-1.1461621748264155</v>
      </c>
      <c r="AA327" s="148">
        <v>-0.09649527723931867</v>
      </c>
      <c r="AB327" s="149">
        <v>-0.5187967766719168</v>
      </c>
      <c r="AC327" s="150">
        <v>-1.1110755801601202</v>
      </c>
      <c r="AD327" s="151"/>
      <c r="AE327" s="151"/>
    </row>
    <row r="328">
      <c r="B328" s="41"/>
      <c r="C328" s="152">
        <f t="shared" ref="C328:G328" si="112">NORMINV(rand(),0, 1)</f>
        <v>-0.7669601996</v>
      </c>
      <c r="D328" s="92">
        <f t="shared" si="112"/>
        <v>-0.9935932203</v>
      </c>
      <c r="E328" s="153">
        <f t="shared" si="112"/>
        <v>-0.4309288684</v>
      </c>
      <c r="F328" s="154">
        <f t="shared" si="112"/>
        <v>0.1766984016</v>
      </c>
      <c r="G328" s="155">
        <f t="shared" si="112"/>
        <v>-0.06377328728</v>
      </c>
      <c r="H328" s="2"/>
      <c r="I328" s="41"/>
      <c r="J328" s="156">
        <v>0.10106740682148996</v>
      </c>
      <c r="K328" s="157">
        <v>-1.515016852039744</v>
      </c>
      <c r="L328" s="158">
        <v>0.534404222765307</v>
      </c>
      <c r="M328" s="159">
        <v>0.5384887131231156</v>
      </c>
      <c r="N328" s="160">
        <v>-1.333050346374341</v>
      </c>
      <c r="O328" s="102"/>
      <c r="P328" s="2"/>
      <c r="Q328" s="41"/>
      <c r="R328" s="152">
        <f t="shared" ref="R328:V328" si="113">NORMINV(rand(),0, 1)</f>
        <v>0.1708909981</v>
      </c>
      <c r="S328" s="92">
        <f t="shared" si="113"/>
        <v>0.4914136324</v>
      </c>
      <c r="T328" s="153">
        <f t="shared" si="113"/>
        <v>0.6305376457</v>
      </c>
      <c r="U328" s="154">
        <f t="shared" si="113"/>
        <v>0.9257884708</v>
      </c>
      <c r="V328" s="155">
        <f t="shared" si="113"/>
        <v>-1.149498526</v>
      </c>
      <c r="W328" s="2"/>
      <c r="X328" s="41"/>
      <c r="Y328" s="156">
        <v>0.008365956401909153</v>
      </c>
      <c r="Z328" s="157">
        <v>1.763921453633178</v>
      </c>
      <c r="AA328" s="158">
        <v>0.650584160545629</v>
      </c>
      <c r="AB328" s="159">
        <v>-0.5472254557716951</v>
      </c>
      <c r="AC328" s="160">
        <v>0.8545038479375265</v>
      </c>
      <c r="AD328" s="161"/>
      <c r="AE328" s="161"/>
    </row>
    <row r="329">
      <c r="B329" s="41"/>
      <c r="C329" s="162">
        <f t="shared" ref="C329:G329" si="114">NORMINV(rand(),0, 1)</f>
        <v>0.09375974753</v>
      </c>
      <c r="D329" s="163">
        <f t="shared" si="114"/>
        <v>-0.5043247928</v>
      </c>
      <c r="E329" s="164">
        <f t="shared" si="114"/>
        <v>-0.4757007998</v>
      </c>
      <c r="F329" s="165">
        <f t="shared" si="114"/>
        <v>-0.1326511331</v>
      </c>
      <c r="G329" s="166">
        <f t="shared" si="114"/>
        <v>0.9647283669</v>
      </c>
      <c r="H329" s="2"/>
      <c r="I329" s="41"/>
      <c r="J329" s="167">
        <v>0.4033857275993051</v>
      </c>
      <c r="K329" s="168">
        <v>-1.5729080865966867</v>
      </c>
      <c r="L329" s="169">
        <v>-0.32047401171187784</v>
      </c>
      <c r="M329" s="170">
        <v>0.9023102396594891</v>
      </c>
      <c r="N329" s="171">
        <v>-0.11654845168396377</v>
      </c>
      <c r="O329" s="102"/>
      <c r="P329" s="2"/>
      <c r="Q329" s="41"/>
      <c r="R329" s="162">
        <f t="shared" ref="R329:V329" si="115">NORMINV(rand(),0, 1)</f>
        <v>0.816470835</v>
      </c>
      <c r="S329" s="163">
        <f t="shared" si="115"/>
        <v>-0.1511497549</v>
      </c>
      <c r="T329" s="164">
        <f t="shared" si="115"/>
        <v>-0.4028183889</v>
      </c>
      <c r="U329" s="165">
        <f t="shared" si="115"/>
        <v>0.07943117246</v>
      </c>
      <c r="V329" s="166">
        <f t="shared" si="115"/>
        <v>-0.9326174</v>
      </c>
      <c r="W329" s="2"/>
      <c r="X329" s="41"/>
      <c r="Y329" s="167">
        <v>0.919467050082164</v>
      </c>
      <c r="Z329" s="168">
        <v>0.41895913119090417</v>
      </c>
      <c r="AA329" s="169">
        <v>0.36247273130089314</v>
      </c>
      <c r="AB329" s="170">
        <v>-2.069419741943258</v>
      </c>
      <c r="AC329" s="171">
        <v>-0.5928411944648085</v>
      </c>
      <c r="AD329" s="172"/>
      <c r="AE329" s="172"/>
    </row>
    <row r="330">
      <c r="B330" s="1"/>
      <c r="C330" s="2"/>
      <c r="D330" s="2"/>
      <c r="E330" s="2"/>
      <c r="F330" s="2"/>
      <c r="G330" s="2"/>
      <c r="H330" s="2"/>
      <c r="I330" s="98" t="s">
        <v>4</v>
      </c>
      <c r="J330" s="2"/>
      <c r="K330" s="2"/>
      <c r="L330" s="2"/>
      <c r="M330" s="2"/>
      <c r="N330" s="2"/>
      <c r="O330" s="102"/>
      <c r="P330" s="2"/>
      <c r="Q330" s="2"/>
      <c r="R330" s="2"/>
      <c r="S330" s="2"/>
      <c r="T330" s="2"/>
      <c r="U330" s="2"/>
      <c r="V330" s="2"/>
      <c r="W330" s="2"/>
      <c r="X330" s="98" t="s">
        <v>4</v>
      </c>
      <c r="Y330" s="2"/>
      <c r="Z330" s="2"/>
      <c r="AA330" s="2"/>
      <c r="AB330" s="2"/>
      <c r="AC330" s="2"/>
      <c r="AD330" s="2"/>
      <c r="AE330" s="2"/>
    </row>
    <row r="331">
      <c r="B331" s="1"/>
      <c r="C331" s="2"/>
      <c r="D331" s="2"/>
      <c r="E331" s="2"/>
      <c r="F331" s="2"/>
      <c r="G331" s="2"/>
      <c r="H331" s="2"/>
      <c r="I331" s="98" t="s">
        <v>4</v>
      </c>
      <c r="J331" s="2"/>
      <c r="K331" s="2"/>
      <c r="L331" s="2"/>
      <c r="M331" s="2"/>
      <c r="N331" s="2"/>
      <c r="O331" s="102"/>
      <c r="P331" s="2"/>
      <c r="Q331" s="2"/>
      <c r="R331" s="2"/>
      <c r="S331" s="2"/>
      <c r="T331" s="2"/>
      <c r="U331" s="2"/>
      <c r="V331" s="2"/>
      <c r="W331" s="2"/>
      <c r="X331" s="98" t="s">
        <v>4</v>
      </c>
      <c r="Y331" s="2"/>
      <c r="Z331" s="2"/>
      <c r="AA331" s="2"/>
      <c r="AB331" s="2"/>
      <c r="AC331" s="2"/>
      <c r="AD331" s="2"/>
      <c r="AE331" s="2"/>
    </row>
    <row r="332">
      <c r="B332" s="1"/>
      <c r="C332" s="2"/>
      <c r="D332" s="2"/>
      <c r="E332" s="2"/>
      <c r="F332" s="66" t="s">
        <v>54</v>
      </c>
      <c r="G332" s="7" t="str">
        <f t="array" ref="G332">MMULT(J325:N329,N318:R322)</f>
        <v>#VALUE!</v>
      </c>
      <c r="H332" s="8"/>
      <c r="I332" s="8"/>
      <c r="J332" s="8"/>
      <c r="K332" s="9"/>
      <c r="L332" s="2"/>
      <c r="M332" s="2"/>
      <c r="N332" s="2"/>
      <c r="O332" s="102"/>
      <c r="P332" s="2"/>
      <c r="Q332" s="2"/>
      <c r="R332" s="2"/>
      <c r="S332" s="2"/>
      <c r="T332" s="2"/>
      <c r="U332" s="66" t="s">
        <v>55</v>
      </c>
      <c r="V332" s="7" t="str">
        <f t="array" ref="V332">MMULT(Y325:AC329,N318:R322)</f>
        <v>#VALUE!</v>
      </c>
      <c r="W332" s="8"/>
      <c r="X332" s="8"/>
      <c r="Y332" s="8"/>
      <c r="Z332" s="9"/>
      <c r="AA332" s="2"/>
      <c r="AB332" s="2"/>
      <c r="AC332" s="2"/>
      <c r="AD332" s="2"/>
      <c r="AE332" s="2"/>
    </row>
    <row r="333">
      <c r="B333" s="1"/>
      <c r="C333" s="2"/>
      <c r="D333" s="2"/>
      <c r="E333" s="2"/>
      <c r="F333" s="2"/>
      <c r="G333" s="11"/>
      <c r="H333" s="10"/>
      <c r="I333" s="10"/>
      <c r="J333" s="10"/>
      <c r="K333" s="12"/>
      <c r="L333" s="2"/>
      <c r="M333" s="2"/>
      <c r="N333" s="2"/>
      <c r="O333" s="102"/>
      <c r="P333" s="2"/>
      <c r="Q333" s="2"/>
      <c r="R333" s="2"/>
      <c r="S333" s="2"/>
      <c r="T333" s="2"/>
      <c r="U333" s="2"/>
      <c r="V333" s="11"/>
      <c r="W333" s="10"/>
      <c r="X333" s="10"/>
      <c r="Y333" s="10"/>
      <c r="Z333" s="12"/>
      <c r="AA333" s="2"/>
      <c r="AB333" s="2"/>
      <c r="AC333" s="2"/>
      <c r="AD333" s="2"/>
      <c r="AE333" s="2"/>
    </row>
    <row r="334">
      <c r="B334" s="1"/>
      <c r="C334" s="2"/>
      <c r="D334" s="2"/>
      <c r="E334" s="2"/>
      <c r="F334" s="2"/>
      <c r="G334" s="11"/>
      <c r="H334" s="10"/>
      <c r="I334" s="10"/>
      <c r="J334" s="10"/>
      <c r="K334" s="12"/>
      <c r="L334" s="2"/>
      <c r="M334" s="2"/>
      <c r="N334" s="2"/>
      <c r="O334" s="102"/>
      <c r="P334" s="2"/>
      <c r="Q334" s="2"/>
      <c r="R334" s="2"/>
      <c r="S334" s="2"/>
      <c r="T334" s="2"/>
      <c r="U334" s="2"/>
      <c r="V334" s="11"/>
      <c r="W334" s="10"/>
      <c r="X334" s="10"/>
      <c r="Y334" s="10"/>
      <c r="Z334" s="12"/>
      <c r="AA334" s="2"/>
      <c r="AB334" s="2"/>
      <c r="AC334" s="2"/>
      <c r="AD334" s="2"/>
      <c r="AE334" s="2"/>
    </row>
    <row r="335">
      <c r="B335" s="1"/>
      <c r="C335" s="2"/>
      <c r="D335" s="2"/>
      <c r="E335" s="2"/>
      <c r="F335" s="2"/>
      <c r="G335" s="11"/>
      <c r="H335" s="10"/>
      <c r="I335" s="10"/>
      <c r="J335" s="10"/>
      <c r="K335" s="12"/>
      <c r="L335" s="2"/>
      <c r="M335" s="2"/>
      <c r="N335" s="2"/>
      <c r="O335" s="102"/>
      <c r="P335" s="2"/>
      <c r="Q335" s="2"/>
      <c r="R335" s="2"/>
      <c r="S335" s="2"/>
      <c r="T335" s="2"/>
      <c r="U335" s="2"/>
      <c r="V335" s="11"/>
      <c r="W335" s="10"/>
      <c r="X335" s="10"/>
      <c r="Y335" s="10"/>
      <c r="Z335" s="12"/>
      <c r="AA335" s="2"/>
      <c r="AB335" s="2"/>
      <c r="AC335" s="2"/>
      <c r="AD335" s="2"/>
      <c r="AE335" s="2"/>
    </row>
    <row r="336">
      <c r="B336" s="1"/>
      <c r="C336" s="2"/>
      <c r="D336" s="2"/>
      <c r="E336" s="2"/>
      <c r="F336" s="2"/>
      <c r="G336" s="13"/>
      <c r="H336" s="14"/>
      <c r="I336" s="14"/>
      <c r="J336" s="14"/>
      <c r="K336" s="15"/>
      <c r="L336" s="2"/>
      <c r="M336" s="2"/>
      <c r="N336" s="2"/>
      <c r="O336" s="102"/>
      <c r="P336" s="2"/>
      <c r="Q336" s="2"/>
      <c r="R336" s="2"/>
      <c r="S336" s="2"/>
      <c r="T336" s="2"/>
      <c r="U336" s="2"/>
      <c r="V336" s="13"/>
      <c r="W336" s="14"/>
      <c r="X336" s="14"/>
      <c r="Y336" s="14"/>
      <c r="Z336" s="15"/>
      <c r="AA336" s="2"/>
      <c r="AB336" s="2"/>
      <c r="AC336" s="2"/>
      <c r="AD336" s="2"/>
      <c r="AE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0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0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0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10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0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4" t="s">
        <v>67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2"/>
      <c r="AE345" s="2"/>
    </row>
    <row r="346">
      <c r="B346" s="1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B349" s="194"/>
      <c r="C349" s="194"/>
      <c r="E349" s="195"/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B350" s="194"/>
      <c r="C350" s="194" t="s">
        <v>68</v>
      </c>
      <c r="E350" s="195" t="s">
        <v>69</v>
      </c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196" t="s">
        <v>70</v>
      </c>
      <c r="C351" s="21">
        <v>768.0</v>
      </c>
      <c r="E351" s="21">
        <v>10.0</v>
      </c>
      <c r="F351" s="2"/>
      <c r="G351" s="2"/>
      <c r="H351" s="2"/>
      <c r="I351" s="2"/>
      <c r="J351" s="2"/>
      <c r="K351" s="2"/>
      <c r="L351" s="2"/>
      <c r="M351" s="2"/>
      <c r="N351" s="2"/>
      <c r="O351" s="3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B353" s="6" t="s">
        <v>71</v>
      </c>
      <c r="C353" s="21">
        <v>12.0</v>
      </c>
      <c r="E353" s="21">
        <v>2.0</v>
      </c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B354" s="1"/>
      <c r="C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196" t="s">
        <v>72</v>
      </c>
      <c r="C355" s="2">
        <f>C351/C353</f>
        <v>64</v>
      </c>
      <c r="E355" s="197" t="s">
        <v>73</v>
      </c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16.5" customHeight="1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4" t="s">
        <v>74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D360" s="6" t="s">
        <v>75</v>
      </c>
      <c r="E360" s="21">
        <v>10.0</v>
      </c>
      <c r="F360" s="2"/>
      <c r="G360" s="2"/>
      <c r="H360" s="2"/>
      <c r="I360" s="2"/>
      <c r="J360" s="2"/>
      <c r="K360" s="2"/>
      <c r="L360" s="2"/>
      <c r="M360" s="2"/>
      <c r="N360" s="2"/>
      <c r="O360" s="3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D361" s="6" t="s">
        <v>72</v>
      </c>
      <c r="E361" s="21">
        <v>5.0</v>
      </c>
      <c r="F361" s="2"/>
      <c r="G361" s="2"/>
      <c r="H361" s="2"/>
      <c r="I361" s="2"/>
      <c r="J361" s="2"/>
      <c r="K361" s="2"/>
      <c r="L361" s="2"/>
      <c r="M361" s="2"/>
      <c r="N361" s="2"/>
      <c r="O361" s="3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3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41"/>
      <c r="B363" s="41"/>
      <c r="C363" s="41"/>
      <c r="F363" s="41"/>
      <c r="G363" s="41"/>
      <c r="H363" s="41"/>
      <c r="I363" s="34" t="s">
        <v>2</v>
      </c>
      <c r="J363" s="198">
        <f t="shared" ref="J363:S363" si="116">NORMINV(rand(),0, 1)</f>
        <v>1.346000286</v>
      </c>
      <c r="K363" s="199">
        <f t="shared" si="116"/>
        <v>-1.370585533</v>
      </c>
      <c r="L363" s="200">
        <f t="shared" si="116"/>
        <v>-1.560218218</v>
      </c>
      <c r="M363" s="201">
        <f t="shared" si="116"/>
        <v>0.5032301594</v>
      </c>
      <c r="N363" s="202">
        <f t="shared" si="116"/>
        <v>0.711045995</v>
      </c>
      <c r="O363" s="203">
        <f t="shared" si="116"/>
        <v>-1.001472004</v>
      </c>
      <c r="P363" s="199">
        <f t="shared" si="116"/>
        <v>0.61667383</v>
      </c>
      <c r="Q363" s="200">
        <f t="shared" si="116"/>
        <v>-0.5747905042</v>
      </c>
      <c r="R363" s="201">
        <f t="shared" si="116"/>
        <v>0.2834056834</v>
      </c>
      <c r="S363" s="204">
        <f t="shared" si="116"/>
        <v>-0.5757334358</v>
      </c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41"/>
      <c r="B364" s="41"/>
      <c r="C364" s="41"/>
      <c r="D364" s="41"/>
      <c r="E364" s="41"/>
      <c r="F364" s="41"/>
      <c r="G364" s="41"/>
      <c r="H364" s="41"/>
      <c r="I364" s="34" t="s">
        <v>3</v>
      </c>
      <c r="J364" s="205">
        <f t="shared" ref="J364:S364" si="117">NORMINV(rand(),0, 1)</f>
        <v>-0.105572332</v>
      </c>
      <c r="K364" s="84">
        <f t="shared" si="117"/>
        <v>1.173455846</v>
      </c>
      <c r="L364" s="206">
        <f t="shared" si="117"/>
        <v>1.48505988</v>
      </c>
      <c r="M364" s="207">
        <f t="shared" si="117"/>
        <v>0.9367381795</v>
      </c>
      <c r="N364" s="208">
        <f t="shared" si="117"/>
        <v>-1.046215896</v>
      </c>
      <c r="O364" s="209">
        <f t="shared" si="117"/>
        <v>-1.14060862</v>
      </c>
      <c r="P364" s="84">
        <f t="shared" si="117"/>
        <v>-0.5772660782</v>
      </c>
      <c r="Q364" s="206">
        <f t="shared" si="117"/>
        <v>-0.6128615452</v>
      </c>
      <c r="R364" s="207">
        <f t="shared" si="117"/>
        <v>-0.7186056891</v>
      </c>
      <c r="S364" s="210">
        <f t="shared" si="117"/>
        <v>0.2336731928</v>
      </c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211">
        <f t="shared" ref="J365:S365" si="118">NORMINV(rand(),0, 1)</f>
        <v>1.077561455</v>
      </c>
      <c r="K365" s="212">
        <f t="shared" si="118"/>
        <v>0.06493454581</v>
      </c>
      <c r="L365" s="213">
        <f t="shared" si="118"/>
        <v>1.291745204</v>
      </c>
      <c r="M365" s="214">
        <f t="shared" si="118"/>
        <v>1.065858448</v>
      </c>
      <c r="N365" s="215">
        <f t="shared" si="118"/>
        <v>-1.169034126</v>
      </c>
      <c r="O365" s="216">
        <f t="shared" si="118"/>
        <v>1.815440681</v>
      </c>
      <c r="P365" s="212">
        <f t="shared" si="118"/>
        <v>0.04751077884</v>
      </c>
      <c r="Q365" s="213">
        <f t="shared" si="118"/>
        <v>1.29498644</v>
      </c>
      <c r="R365" s="214">
        <f t="shared" si="118"/>
        <v>-0.8495029773</v>
      </c>
      <c r="S365" s="217">
        <f t="shared" si="118"/>
        <v>-1.24202281</v>
      </c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218">
        <f t="shared" ref="J366:S366" si="119">NORMINV(rand(),0, 1)</f>
        <v>-0.3531993166</v>
      </c>
      <c r="K366" s="219">
        <f t="shared" si="119"/>
        <v>-0.2980351429</v>
      </c>
      <c r="L366" s="220">
        <f t="shared" si="119"/>
        <v>-2.100724683</v>
      </c>
      <c r="M366" s="221">
        <f t="shared" si="119"/>
        <v>-1.588799169</v>
      </c>
      <c r="N366" s="83">
        <f t="shared" si="119"/>
        <v>-0.6434773802</v>
      </c>
      <c r="O366" s="222">
        <f t="shared" si="119"/>
        <v>-0.9234715455</v>
      </c>
      <c r="P366" s="219">
        <f t="shared" si="119"/>
        <v>-1.068259485</v>
      </c>
      <c r="Q366" s="220">
        <f t="shared" si="119"/>
        <v>-0.4155488793</v>
      </c>
      <c r="R366" s="221">
        <f t="shared" si="119"/>
        <v>0.9398907864</v>
      </c>
      <c r="S366" s="223">
        <f t="shared" si="119"/>
        <v>1.037751138</v>
      </c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224">
        <f t="shared" ref="J367:S367" si="120">NORMINV(rand(),0, 1)</f>
        <v>0.5205963057</v>
      </c>
      <c r="K367" s="225">
        <f t="shared" si="120"/>
        <v>0.698417537</v>
      </c>
      <c r="L367" s="226">
        <f t="shared" si="120"/>
        <v>0.212276866</v>
      </c>
      <c r="M367" s="227">
        <f t="shared" si="120"/>
        <v>0.6470297214</v>
      </c>
      <c r="N367" s="228">
        <f t="shared" si="120"/>
        <v>0.7862222411</v>
      </c>
      <c r="O367" s="226">
        <f t="shared" si="120"/>
        <v>0.3656593546</v>
      </c>
      <c r="P367" s="225">
        <f t="shared" si="120"/>
        <v>0.5176140479</v>
      </c>
      <c r="Q367" s="226">
        <f t="shared" si="120"/>
        <v>-0.6844533388</v>
      </c>
      <c r="R367" s="227">
        <f t="shared" si="120"/>
        <v>-0.8663269584</v>
      </c>
      <c r="S367" s="229">
        <f t="shared" si="120"/>
        <v>0.9078670478</v>
      </c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41"/>
      <c r="C368" s="41"/>
      <c r="D368" s="41"/>
      <c r="E368" s="41"/>
      <c r="F368" s="41"/>
      <c r="G368" s="41"/>
      <c r="H368" s="41"/>
      <c r="I368" s="41"/>
      <c r="J368" s="41"/>
      <c r="K368" s="94"/>
      <c r="L368" s="42" t="s">
        <v>4</v>
      </c>
      <c r="M368" s="94"/>
      <c r="N368" s="94"/>
      <c r="O368" s="3"/>
      <c r="P368" s="2"/>
      <c r="Q368" s="2"/>
      <c r="R368" s="42" t="s">
        <v>4</v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41"/>
      <c r="C369" s="41"/>
      <c r="D369" s="41"/>
      <c r="E369" s="41"/>
      <c r="F369" s="41"/>
      <c r="G369" s="41"/>
      <c r="H369" s="41"/>
      <c r="I369" s="41"/>
      <c r="J369" s="41"/>
      <c r="K369" s="41"/>
      <c r="L369" s="42" t="s">
        <v>4</v>
      </c>
      <c r="M369" s="94"/>
      <c r="N369" s="41"/>
      <c r="O369" s="3"/>
      <c r="P369" s="2"/>
      <c r="Q369" s="2"/>
      <c r="R369" s="42" t="s">
        <v>4</v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41"/>
      <c r="B370" s="66" t="s">
        <v>42</v>
      </c>
      <c r="C370" s="230">
        <f t="shared" ref="C370:G370" si="121">NORMINV(rand(),0, 1)</f>
        <v>0.2369347676</v>
      </c>
      <c r="D370" s="231">
        <f t="shared" si="121"/>
        <v>1.731723796</v>
      </c>
      <c r="E370" s="232">
        <f t="shared" si="121"/>
        <v>-0.9633652141</v>
      </c>
      <c r="F370" s="233">
        <f t="shared" si="121"/>
        <v>0.4970774437</v>
      </c>
      <c r="G370" s="234">
        <f t="shared" si="121"/>
        <v>-0.622897271</v>
      </c>
      <c r="H370" s="94"/>
      <c r="I370" s="66" t="s">
        <v>43</v>
      </c>
      <c r="J370" s="235"/>
      <c r="K370" s="236"/>
      <c r="L370" s="236"/>
      <c r="M370" s="236"/>
      <c r="N370" s="237"/>
      <c r="O370" s="3"/>
      <c r="P370" s="2"/>
      <c r="Q370" s="2"/>
      <c r="R370" s="42" t="s">
        <v>4</v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41"/>
      <c r="C371" s="238">
        <f t="shared" ref="C371:G371" si="122">NORMINV(rand(),0, 1)</f>
        <v>-0.5295915671</v>
      </c>
      <c r="D371" s="239">
        <f t="shared" si="122"/>
        <v>0.5362533342</v>
      </c>
      <c r="E371" s="240">
        <f t="shared" si="122"/>
        <v>1.314026539</v>
      </c>
      <c r="F371" s="241">
        <f t="shared" si="122"/>
        <v>-0.8811231047</v>
      </c>
      <c r="G371" s="242">
        <f t="shared" si="122"/>
        <v>0.6157158718</v>
      </c>
      <c r="H371" s="94"/>
      <c r="I371" s="34" t="s">
        <v>7</v>
      </c>
      <c r="J371" s="243"/>
      <c r="K371" s="94"/>
      <c r="L371" s="94"/>
      <c r="M371" s="94"/>
      <c r="N371" s="244"/>
      <c r="O371" s="3"/>
      <c r="P371" s="2"/>
      <c r="Q371" s="2"/>
      <c r="R371" s="42" t="s">
        <v>4</v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41"/>
      <c r="B372" s="41"/>
      <c r="C372" s="245">
        <f t="shared" ref="C372:G372" si="123">NORMINV(rand(),0, 1)</f>
        <v>-1.251164566</v>
      </c>
      <c r="D372" s="246">
        <f t="shared" si="123"/>
        <v>0.3268975499</v>
      </c>
      <c r="E372" s="247">
        <f t="shared" si="123"/>
        <v>1.485442376</v>
      </c>
      <c r="F372" s="248">
        <f t="shared" si="123"/>
        <v>0.1414802172</v>
      </c>
      <c r="G372" s="249">
        <f t="shared" si="123"/>
        <v>-0.08483528595</v>
      </c>
      <c r="H372" s="42" t="s">
        <v>8</v>
      </c>
      <c r="I372" s="42" t="s">
        <v>8</v>
      </c>
      <c r="J372" s="243"/>
      <c r="K372" s="94"/>
      <c r="L372" s="94"/>
      <c r="M372" s="94"/>
      <c r="N372" s="244"/>
      <c r="O372" s="3"/>
      <c r="P372" s="2"/>
      <c r="Q372" s="2"/>
      <c r="R372" s="42" t="s">
        <v>4</v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41"/>
      <c r="B373" s="41"/>
      <c r="C373" s="250">
        <f t="shared" ref="C373:G373" si="124">NORMINV(rand(),0, 1)</f>
        <v>-0.7784766942</v>
      </c>
      <c r="D373" s="220">
        <f t="shared" si="124"/>
        <v>0.4483213478</v>
      </c>
      <c r="E373" s="251">
        <f t="shared" si="124"/>
        <v>1.009437246</v>
      </c>
      <c r="F373" s="252">
        <f t="shared" si="124"/>
        <v>0.2183987735</v>
      </c>
      <c r="G373" s="253">
        <f t="shared" si="124"/>
        <v>-0.004035312548</v>
      </c>
      <c r="H373" s="94"/>
      <c r="I373" s="41"/>
      <c r="J373" s="243"/>
      <c r="K373" s="94"/>
      <c r="L373" s="94"/>
      <c r="M373" s="94"/>
      <c r="N373" s="244"/>
      <c r="O373" s="3"/>
      <c r="P373" s="2"/>
      <c r="Q373" s="2"/>
      <c r="R373" s="42" t="s">
        <v>4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41"/>
      <c r="C374" s="254">
        <f t="shared" ref="C374:G374" si="125">NORMINV(rand(),0, 1)</f>
        <v>1.05350044</v>
      </c>
      <c r="D374" s="255">
        <f t="shared" si="125"/>
        <v>1.174741384</v>
      </c>
      <c r="E374" s="256">
        <f t="shared" si="125"/>
        <v>-0.6485496783</v>
      </c>
      <c r="F374" s="214">
        <f t="shared" si="125"/>
        <v>1.034039171</v>
      </c>
      <c r="G374" s="257">
        <f t="shared" si="125"/>
        <v>0.3468163129</v>
      </c>
      <c r="H374" s="94"/>
      <c r="I374" s="41"/>
      <c r="J374" s="258"/>
      <c r="K374" s="259"/>
      <c r="L374" s="259"/>
      <c r="M374" s="259"/>
      <c r="N374" s="260"/>
      <c r="O374" s="3"/>
      <c r="P374" s="2"/>
      <c r="Q374" s="2"/>
      <c r="R374" s="42" t="s">
        <v>4</v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B375" s="41"/>
      <c r="C375" s="261">
        <f t="shared" ref="C375:G375" si="126">NORMINV(rand(),0, 1)</f>
        <v>-0.2747253031</v>
      </c>
      <c r="D375" s="262">
        <f t="shared" si="126"/>
        <v>0.3998445816</v>
      </c>
      <c r="E375" s="263">
        <f t="shared" si="126"/>
        <v>-0.2075225581</v>
      </c>
      <c r="F375" s="69">
        <f t="shared" si="126"/>
        <v>0.1253843056</v>
      </c>
      <c r="G375" s="264">
        <f t="shared" si="126"/>
        <v>-1.225948464</v>
      </c>
      <c r="O375" s="3"/>
      <c r="P375" s="2"/>
      <c r="Q375" s="2"/>
      <c r="R375" s="42" t="s">
        <v>4</v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B376" s="41"/>
      <c r="C376" s="238">
        <f t="shared" ref="C376:G376" si="127">NORMINV(rand(),0, 1)</f>
        <v>-0.1353439068</v>
      </c>
      <c r="D376" s="239">
        <f t="shared" si="127"/>
        <v>0.4978011011</v>
      </c>
      <c r="E376" s="240">
        <f t="shared" si="127"/>
        <v>-0.1710640174</v>
      </c>
      <c r="F376" s="241">
        <f t="shared" si="127"/>
        <v>-0.4535773369</v>
      </c>
      <c r="G376" s="242">
        <f t="shared" si="127"/>
        <v>1.046230606</v>
      </c>
      <c r="H376" s="2"/>
      <c r="I376" s="2"/>
      <c r="J376" s="2"/>
      <c r="K376" s="2"/>
      <c r="L376" s="2"/>
      <c r="M376" s="2"/>
      <c r="N376" s="2"/>
      <c r="O376" s="3"/>
      <c r="P376" s="2"/>
      <c r="Q376" s="2"/>
      <c r="R376" s="42" t="s">
        <v>4</v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B377" s="41"/>
      <c r="C377" s="245">
        <f t="shared" ref="C377:G377" si="128">NORMINV(rand(),0, 1)</f>
        <v>0.5224219516</v>
      </c>
      <c r="D377" s="246">
        <f t="shared" si="128"/>
        <v>1.68729405</v>
      </c>
      <c r="E377" s="247">
        <f t="shared" si="128"/>
        <v>-0.3069041745</v>
      </c>
      <c r="F377" s="248">
        <f t="shared" si="128"/>
        <v>0.01661716201</v>
      </c>
      <c r="G377" s="249">
        <f t="shared" si="128"/>
        <v>1.188251836</v>
      </c>
      <c r="H377" s="2"/>
      <c r="I377" s="2"/>
      <c r="J377" s="2"/>
      <c r="K377" s="2"/>
      <c r="L377" s="2"/>
      <c r="M377" s="2"/>
      <c r="N377" s="2"/>
      <c r="O377" s="3"/>
      <c r="P377" s="2"/>
      <c r="Q377" s="2"/>
      <c r="R377" s="42" t="s">
        <v>4</v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B378" s="41"/>
      <c r="C378" s="250">
        <f t="shared" ref="C378:G378" si="129">NORMINV(rand(),0, 1)</f>
        <v>-0.1062329067</v>
      </c>
      <c r="D378" s="220">
        <f t="shared" si="129"/>
        <v>-1.77510042</v>
      </c>
      <c r="E378" s="251">
        <f t="shared" si="129"/>
        <v>-0.6914358325</v>
      </c>
      <c r="F378" s="252">
        <f t="shared" si="129"/>
        <v>0.2625433639</v>
      </c>
      <c r="G378" s="253">
        <f t="shared" si="129"/>
        <v>0.9136739061</v>
      </c>
      <c r="H378" s="2"/>
      <c r="I378" s="2"/>
      <c r="J378" s="2"/>
      <c r="K378" s="2"/>
      <c r="L378" s="2"/>
      <c r="M378" s="2"/>
      <c r="N378" s="2"/>
      <c r="O378" s="3"/>
      <c r="P378" s="2"/>
      <c r="Q378" s="2"/>
      <c r="R378" s="42" t="s">
        <v>4</v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C379" s="265">
        <f t="shared" ref="C379:G379" si="130">NORMINV(rand(),0, 1)</f>
        <v>1.26593172</v>
      </c>
      <c r="D379" s="266">
        <f t="shared" si="130"/>
        <v>-0.420433142</v>
      </c>
      <c r="E379" s="267">
        <f t="shared" si="130"/>
        <v>-0.2325850538</v>
      </c>
      <c r="F379" s="268">
        <f t="shared" si="130"/>
        <v>-1.478107926</v>
      </c>
      <c r="G379" s="269">
        <f t="shared" si="130"/>
        <v>0.004822222439</v>
      </c>
      <c r="H379" s="2"/>
      <c r="I379" s="2"/>
      <c r="J379" s="2"/>
      <c r="K379" s="2"/>
      <c r="L379" s="2"/>
      <c r="M379" s="2"/>
      <c r="N379" s="2"/>
      <c r="R379" s="42" t="s">
        <v>4</v>
      </c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B380" s="1"/>
      <c r="O380" s="3"/>
      <c r="P380" s="2"/>
      <c r="Q380" s="2"/>
      <c r="R380" s="42" t="s">
        <v>4</v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B381" s="1"/>
      <c r="O381" s="3"/>
      <c r="P381" s="2"/>
      <c r="Q381" s="2"/>
      <c r="R381" s="42" t="s">
        <v>4</v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B382" s="66" t="s">
        <v>44</v>
      </c>
      <c r="C382" s="230">
        <f t="shared" ref="C382:G382" si="131">NORMINV(rand(),0, 1)</f>
        <v>0.6013907732</v>
      </c>
      <c r="D382" s="231">
        <f t="shared" si="131"/>
        <v>-0.1090331467</v>
      </c>
      <c r="E382" s="232">
        <f t="shared" si="131"/>
        <v>1.12619351</v>
      </c>
      <c r="F382" s="233">
        <f t="shared" si="131"/>
        <v>0.5503248161</v>
      </c>
      <c r="G382" s="234">
        <f t="shared" si="131"/>
        <v>-0.6990079914</v>
      </c>
      <c r="H382" s="94"/>
      <c r="I382" s="66" t="s">
        <v>45</v>
      </c>
      <c r="J382" s="235"/>
      <c r="K382" s="236"/>
      <c r="L382" s="236"/>
      <c r="M382" s="236"/>
      <c r="N382" s="237"/>
      <c r="O382" s="3"/>
      <c r="P382" s="2"/>
      <c r="Q382" s="2"/>
      <c r="R382" s="42" t="s">
        <v>4</v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C383" s="238">
        <f t="shared" ref="C383:G383" si="132">NORMINV(rand(),0, 1)</f>
        <v>-0.9431396712</v>
      </c>
      <c r="D383" s="239">
        <f t="shared" si="132"/>
        <v>0.6936997589</v>
      </c>
      <c r="E383" s="240">
        <f t="shared" si="132"/>
        <v>1.935762161</v>
      </c>
      <c r="F383" s="241">
        <f t="shared" si="132"/>
        <v>0.001560251556</v>
      </c>
      <c r="G383" s="242">
        <f t="shared" si="132"/>
        <v>1.29823888</v>
      </c>
      <c r="H383" s="94"/>
      <c r="I383" s="34" t="s">
        <v>7</v>
      </c>
      <c r="J383" s="243"/>
      <c r="K383" s="94"/>
      <c r="L383" s="94"/>
      <c r="M383" s="94"/>
      <c r="N383" s="244"/>
      <c r="O383" s="21" t="s">
        <v>41</v>
      </c>
      <c r="P383" s="21" t="s">
        <v>41</v>
      </c>
      <c r="Q383" s="21" t="s">
        <v>41</v>
      </c>
      <c r="R383" s="4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B384" s="41"/>
      <c r="C384" s="245">
        <f t="shared" ref="C384:G384" si="133">NORMINV(rand(),0, 1)</f>
        <v>1.082598885</v>
      </c>
      <c r="D384" s="246">
        <f t="shared" si="133"/>
        <v>-1.822143626</v>
      </c>
      <c r="E384" s="247">
        <f t="shared" si="133"/>
        <v>3.862423055</v>
      </c>
      <c r="F384" s="248">
        <f t="shared" si="133"/>
        <v>0.4786401727</v>
      </c>
      <c r="G384" s="249">
        <f t="shared" si="133"/>
        <v>-0.8820072759</v>
      </c>
      <c r="H384" s="42" t="s">
        <v>8</v>
      </c>
      <c r="I384" s="42" t="s">
        <v>8</v>
      </c>
      <c r="J384" s="243"/>
      <c r="K384" s="94"/>
      <c r="L384" s="94"/>
      <c r="M384" s="94"/>
      <c r="N384" s="244"/>
      <c r="O384" s="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B385" s="41"/>
      <c r="C385" s="250">
        <f t="shared" ref="C385:G385" si="134">NORMINV(rand(),0, 1)</f>
        <v>0.6304395659</v>
      </c>
      <c r="D385" s="220">
        <f t="shared" si="134"/>
        <v>-0.07262427701</v>
      </c>
      <c r="E385" s="251">
        <f t="shared" si="134"/>
        <v>0.7189476144</v>
      </c>
      <c r="F385" s="252">
        <f t="shared" si="134"/>
        <v>-2.444556392</v>
      </c>
      <c r="G385" s="253">
        <f t="shared" si="134"/>
        <v>-1.408487987</v>
      </c>
      <c r="H385" s="94"/>
      <c r="I385" s="41"/>
      <c r="J385" s="243"/>
      <c r="K385" s="94"/>
      <c r="L385" s="94"/>
      <c r="M385" s="94"/>
      <c r="N385" s="244"/>
      <c r="O385" s="3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C386" s="254">
        <f t="shared" ref="C386:G386" si="135">NORMINV(rand(),0, 1)</f>
        <v>0.3011952588</v>
      </c>
      <c r="D386" s="255">
        <f t="shared" si="135"/>
        <v>-1.48047317</v>
      </c>
      <c r="E386" s="256">
        <f t="shared" si="135"/>
        <v>1.261468156</v>
      </c>
      <c r="F386" s="214">
        <f t="shared" si="135"/>
        <v>-0.2564527203</v>
      </c>
      <c r="G386" s="257">
        <f t="shared" si="135"/>
        <v>-0.5307157711</v>
      </c>
      <c r="H386" s="94"/>
      <c r="I386" s="41"/>
      <c r="J386" s="258"/>
      <c r="K386" s="259"/>
      <c r="L386" s="259"/>
      <c r="M386" s="259"/>
      <c r="N386" s="260"/>
      <c r="O386" s="3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B387" s="41"/>
      <c r="C387" s="261">
        <f t="shared" ref="C387:G387" si="136">NORMINV(rand(),0, 1)</f>
        <v>-0.453028309</v>
      </c>
      <c r="D387" s="262">
        <f t="shared" si="136"/>
        <v>0.7384690605</v>
      </c>
      <c r="E387" s="263">
        <f t="shared" si="136"/>
        <v>1.065703534</v>
      </c>
      <c r="F387" s="69">
        <f t="shared" si="136"/>
        <v>-1.769838058</v>
      </c>
      <c r="G387" s="264">
        <f t="shared" si="136"/>
        <v>1.408641702</v>
      </c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B388" s="41"/>
      <c r="C388" s="238">
        <f t="shared" ref="C388:G388" si="137">NORMINV(rand(),0, 1)</f>
        <v>0.9233027855</v>
      </c>
      <c r="D388" s="239">
        <f t="shared" si="137"/>
        <v>-0.1996886444</v>
      </c>
      <c r="E388" s="240">
        <f t="shared" si="137"/>
        <v>0.958305858</v>
      </c>
      <c r="F388" s="241">
        <f t="shared" si="137"/>
        <v>-2.518089251</v>
      </c>
      <c r="G388" s="242">
        <f t="shared" si="137"/>
        <v>-0.6191262947</v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B389" s="41"/>
      <c r="C389" s="245">
        <f t="shared" ref="C389:G389" si="138">NORMINV(rand(),0, 1)</f>
        <v>-0.6231489908</v>
      </c>
      <c r="D389" s="246">
        <f t="shared" si="138"/>
        <v>-0.453541873</v>
      </c>
      <c r="E389" s="247">
        <f t="shared" si="138"/>
        <v>-0.9381464875</v>
      </c>
      <c r="F389" s="248">
        <f t="shared" si="138"/>
        <v>0.2206889323</v>
      </c>
      <c r="G389" s="249">
        <f t="shared" si="138"/>
        <v>-1.211968263</v>
      </c>
      <c r="H389" s="2"/>
      <c r="I389" s="2"/>
      <c r="J389" s="2"/>
      <c r="K389" s="2"/>
      <c r="L389" s="2"/>
      <c r="M389" s="2"/>
      <c r="N389" s="2"/>
      <c r="O389" s="3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B390" s="41"/>
      <c r="C390" s="250">
        <f t="shared" ref="C390:G390" si="139">NORMINV(rand(),0, 1)</f>
        <v>-0.6117374501</v>
      </c>
      <c r="D390" s="220">
        <f t="shared" si="139"/>
        <v>0.9368398516</v>
      </c>
      <c r="E390" s="251">
        <f t="shared" si="139"/>
        <v>-0.6494385811</v>
      </c>
      <c r="F390" s="252">
        <f t="shared" si="139"/>
        <v>1.188877817</v>
      </c>
      <c r="G390" s="253">
        <f t="shared" si="139"/>
        <v>-0.08832306008</v>
      </c>
      <c r="H390" s="2"/>
      <c r="I390" s="2"/>
      <c r="J390" s="2"/>
      <c r="K390" s="2"/>
      <c r="L390" s="2"/>
      <c r="M390" s="2"/>
      <c r="N390" s="2"/>
      <c r="O390" s="3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C391" s="265">
        <f t="shared" ref="C391:G391" si="140">NORMINV(rand(),0, 1)</f>
        <v>0.08472392324</v>
      </c>
      <c r="D391" s="266">
        <f t="shared" si="140"/>
        <v>1.199883769</v>
      </c>
      <c r="E391" s="267">
        <f t="shared" si="140"/>
        <v>2.055822313</v>
      </c>
      <c r="F391" s="268">
        <f t="shared" si="140"/>
        <v>-0.7321052463</v>
      </c>
      <c r="G391" s="269">
        <f t="shared" si="140"/>
        <v>2.057972877</v>
      </c>
      <c r="H391" s="2"/>
      <c r="I391" s="2"/>
      <c r="J391" s="2"/>
      <c r="K391" s="2"/>
      <c r="L391" s="2"/>
      <c r="M391" s="2"/>
      <c r="N391" s="2"/>
      <c r="O391" s="3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3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3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3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3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3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3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3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3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3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3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3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3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3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3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3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3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3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3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3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3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3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3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3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3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3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3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3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3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3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3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3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3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3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3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3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>
      <c r="B1036" s="1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3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>
      <c r="B1037" s="1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3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>
      <c r="B1038" s="1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3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>
      <c r="B1039" s="1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3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</sheetData>
  <mergeCells count="18">
    <mergeCell ref="A2:Z2"/>
    <mergeCell ref="A12:Z12"/>
    <mergeCell ref="C14:E14"/>
    <mergeCell ref="A27:Z27"/>
    <mergeCell ref="C29:E29"/>
    <mergeCell ref="A42:Z42"/>
    <mergeCell ref="C44:E44"/>
    <mergeCell ref="A291:Z291"/>
    <mergeCell ref="A351:B352"/>
    <mergeCell ref="A355:B356"/>
    <mergeCell ref="C363:E363"/>
    <mergeCell ref="A57:Z57"/>
    <mergeCell ref="A83:Z83"/>
    <mergeCell ref="A119:Z119"/>
    <mergeCell ref="A145:Z145"/>
    <mergeCell ref="A164:Z164"/>
    <mergeCell ref="A201:Z201"/>
    <mergeCell ref="A253:Z253"/>
  </mergeCells>
  <conditionalFormatting sqref="J14:O1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1:G2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1:J25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21:O2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9:N33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6:G40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6:N40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44:N48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51:G55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51:N55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65:G69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65:N69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65:U69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65:AE69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1:G76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72:N76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72:U76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72:AE76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9:G82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79:N82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79:U82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79:AE82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85:O89">
    <cfRule type="colorScale" priority="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92:O96">
    <cfRule type="colorScale" priority="2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99:G103">
    <cfRule type="colorScale" priority="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51:N155">
    <cfRule type="colorScale" priority="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58:N162">
    <cfRule type="colorScale" priority="2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67:G171">
    <cfRule type="colorScale" priority="2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67:N171">
    <cfRule type="colorScale" priority="2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167:U171">
    <cfRule type="colorScale" priority="3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73:G178">
    <cfRule type="colorScale" priority="3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74:N178">
    <cfRule type="colorScale" priority="3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174:U178">
    <cfRule type="colorScale" priority="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181:R185">
    <cfRule type="colorScale" priority="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95:G199">
    <cfRule type="colorScale" priority="3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95:M199">
    <cfRule type="colorScale" priority="3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95:N196">
    <cfRule type="colorScale" priority="3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195:T199">
    <cfRule type="colorScale" priority="3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98:N199">
    <cfRule type="colorScale" priority="3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229">
    <cfRule type="colorScale" priority="4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U229">
    <cfRule type="colorScale" priority="4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311">
    <cfRule type="colorScale" priority="4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1:J25">
    <cfRule type="colorScale" priority="4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21:O26">
    <cfRule type="colorScale" priority="4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22:P26">
    <cfRule type="colorScale" priority="4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28:P28">
    <cfRule type="colorScale" priority="4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6:N40">
    <cfRule type="colorScale" priority="4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43:P43">
    <cfRule type="colorScale" priority="4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51:N55">
    <cfRule type="colorScale" priority="4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13:N117">
    <cfRule type="colorScale" priority="50">
      <colorScale>
        <cfvo type="min"/>
        <cfvo type="max"/>
        <color rgb="FFFFFFFF"/>
        <color rgb="FF57BB8A"/>
      </colorScale>
    </cfRule>
  </conditionalFormatting>
  <conditionalFormatting sqref="J139:N143">
    <cfRule type="colorScale" priority="51">
      <colorScale>
        <cfvo type="min"/>
        <cfvo type="max"/>
        <color rgb="FFFFFFFF"/>
        <color rgb="FF57BB8A"/>
      </colorScale>
    </cfRule>
  </conditionalFormatting>
  <conditionalFormatting sqref="C158:G162">
    <cfRule type="colorScale" priority="52">
      <colorScale>
        <cfvo type="min"/>
        <cfvo type="max"/>
        <color rgb="FFFFFFFF"/>
        <color rgb="FF57BB8A"/>
      </colorScale>
    </cfRule>
  </conditionalFormatting>
  <conditionalFormatting sqref="J99:N110">
    <cfRule type="colorScale" priority="5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25:N129">
    <cfRule type="colorScale" priority="5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32:J136">
    <cfRule type="colorScale" priority="5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32:J136">
    <cfRule type="colorScale" priority="5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33:K136">
    <cfRule type="colorScale" priority="5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33:K136">
    <cfRule type="colorScale" priority="5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34:L136">
    <cfRule type="colorScale" priority="5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34:L136">
    <cfRule type="colorScale" priority="6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135:M136">
    <cfRule type="colorScale" priority="6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36">
    <cfRule type="colorScale" priority="6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32:N136">
    <cfRule type="cellIs" dxfId="0" priority="63" stopIfTrue="1" operator="equal">
      <formula>-99</formula>
    </cfRule>
  </conditionalFormatting>
  <conditionalFormatting sqref="C181:D187">
    <cfRule type="cellIs" dxfId="0" priority="64" stopIfTrue="1" operator="equal">
      <formula>-99</formula>
    </cfRule>
  </conditionalFormatting>
  <conditionalFormatting sqref="E181:H192">
    <cfRule type="cellIs" dxfId="0" priority="65" stopIfTrue="1" operator="equal">
      <formula>-99</formula>
    </cfRule>
  </conditionalFormatting>
  <conditionalFormatting sqref="I188:I192">
    <cfRule type="cellIs" dxfId="0" priority="66" stopIfTrue="1" operator="equal">
      <formula>-99</formula>
    </cfRule>
  </conditionalFormatting>
  <conditionalFormatting sqref="Y203:AE207">
    <cfRule type="cellIs" dxfId="0" priority="67" stopIfTrue="1" operator="equal">
      <formula>-99</formula>
    </cfRule>
  </conditionalFormatting>
  <conditionalFormatting sqref="Y293:AE297">
    <cfRule type="cellIs" dxfId="0" priority="68" stopIfTrue="1" operator="equal">
      <formula>-99</formula>
    </cfRule>
  </conditionalFormatting>
  <conditionalFormatting sqref="C132:N136">
    <cfRule type="cellIs" dxfId="1" priority="69" stopIfTrue="1" operator="equal">
      <formula>0</formula>
    </cfRule>
  </conditionalFormatting>
  <conditionalFormatting sqref="C181:D187">
    <cfRule type="cellIs" dxfId="1" priority="70" stopIfTrue="1" operator="equal">
      <formula>0</formula>
    </cfRule>
  </conditionalFormatting>
  <conditionalFormatting sqref="E181:H192">
    <cfRule type="cellIs" dxfId="1" priority="71" stopIfTrue="1" operator="equal">
      <formula>0</formula>
    </cfRule>
  </conditionalFormatting>
  <conditionalFormatting sqref="I188:I192">
    <cfRule type="cellIs" dxfId="1" priority="72" stopIfTrue="1" operator="equal">
      <formula>0</formula>
    </cfRule>
  </conditionalFormatting>
  <conditionalFormatting sqref="Y203:AE207">
    <cfRule type="cellIs" dxfId="1" priority="73" stopIfTrue="1" operator="equal">
      <formula>0</formula>
    </cfRule>
  </conditionalFormatting>
  <conditionalFormatting sqref="Y293:AE297">
    <cfRule type="cellIs" dxfId="1" priority="74" stopIfTrue="1" operator="equal">
      <formula>0</formula>
    </cfRule>
  </conditionalFormatting>
  <conditionalFormatting sqref="M188:M189">
    <cfRule type="colorScale" priority="75">
      <colorScale>
        <cfvo type="min"/>
        <cfvo type="max"/>
        <color rgb="FFFFFFFF"/>
        <color rgb="FF57BB8A"/>
      </colorScale>
    </cfRule>
  </conditionalFormatting>
  <conditionalFormatting sqref="M191:M192">
    <cfRule type="colorScale" priority="76">
      <colorScale>
        <cfvo type="min"/>
        <cfvo type="max"/>
        <color rgb="FFFFFFFF"/>
        <color rgb="FF57BB8A"/>
      </colorScale>
    </cfRule>
  </conditionalFormatting>
  <conditionalFormatting sqref="F236:F237">
    <cfRule type="colorScale" priority="77">
      <colorScale>
        <cfvo type="min"/>
        <cfvo type="max"/>
        <color rgb="FFFFFFFF"/>
        <color rgb="FF57BB8A"/>
      </colorScale>
    </cfRule>
  </conditionalFormatting>
  <conditionalFormatting sqref="F239:F240">
    <cfRule type="colorScale" priority="78">
      <colorScale>
        <cfvo type="min"/>
        <cfvo type="max"/>
        <color rgb="FFFFFFFF"/>
        <color rgb="FF57BB8A"/>
      </colorScale>
    </cfRule>
  </conditionalFormatting>
  <conditionalFormatting sqref="K275:L275">
    <cfRule type="colorScale" priority="79">
      <colorScale>
        <cfvo type="min"/>
        <cfvo type="max"/>
        <color rgb="FFFFFFFF"/>
        <color rgb="FF57BB8A"/>
      </colorScale>
    </cfRule>
  </conditionalFormatting>
  <conditionalFormatting sqref="M318:M319">
    <cfRule type="colorScale" priority="80">
      <colorScale>
        <cfvo type="min"/>
        <cfvo type="max"/>
        <color rgb="FFFFFFFF"/>
        <color rgb="FF57BB8A"/>
      </colorScale>
    </cfRule>
  </conditionalFormatting>
  <conditionalFormatting sqref="M321:M322">
    <cfRule type="colorScale" priority="81">
      <colorScale>
        <cfvo type="min"/>
        <cfvo type="max"/>
        <color rgb="FFFFFFFF"/>
        <color rgb="FF57BB8A"/>
      </colorScale>
    </cfRule>
  </conditionalFormatting>
  <conditionalFormatting sqref="M203:T207">
    <cfRule type="colorScale" priority="8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293:T297">
    <cfRule type="colorScale" priority="8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295">
    <cfRule type="colorScale" priority="8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10:G214">
    <cfRule type="colorScale" priority="8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10:N214">
    <cfRule type="colorScale" priority="8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10:V214">
    <cfRule type="colorScale" priority="8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10:AE214">
    <cfRule type="colorScale" priority="8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16:G220">
    <cfRule type="colorScale" priority="8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16:N220">
    <cfRule type="colorScale" priority="9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16:V220">
    <cfRule type="colorScale" priority="9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16:AE220">
    <cfRule type="colorScale" priority="9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22:G226">
    <cfRule type="colorScale" priority="9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22:N226">
    <cfRule type="colorScale" priority="9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22:V226">
    <cfRule type="colorScale" priority="9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22:AE226">
    <cfRule type="colorScale" priority="9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61:G265">
    <cfRule type="colorScale" priority="9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61:M265">
    <cfRule type="colorScale" priority="9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261:S265">
    <cfRule type="colorScale" priority="9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268:S272">
    <cfRule type="colorScale" priority="10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275:I289">
    <cfRule type="colorScale" priority="10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275:P279">
    <cfRule type="colorScale" priority="10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99:N310">
    <cfRule type="colorScale" priority="10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299:O303">
    <cfRule type="colorScale" priority="10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299:Q309">
    <cfRule type="colorScale" priority="10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99:V310">
    <cfRule type="colorScale" priority="10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00:D304">
    <cfRule type="colorScale" priority="10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300:F304">
    <cfRule type="colorScale" priority="10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300:I304">
    <cfRule type="colorScale" priority="10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300:AE304">
    <cfRule type="colorScale" priority="1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305:O309">
    <cfRule type="colorScale" priority="1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06:D310">
    <cfRule type="colorScale" priority="1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306:F310">
    <cfRule type="colorScale" priority="1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306:I309">
    <cfRule type="colorScale" priority="1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306:AE310">
    <cfRule type="colorScale" priority="1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25:G329">
    <cfRule type="colorScale" priority="1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25:N329">
    <cfRule type="colorScale" priority="1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325:V329">
    <cfRule type="colorScale" priority="1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325:AE329">
    <cfRule type="colorScale" priority="1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332:K336">
    <cfRule type="colorScale" priority="1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332:Z336">
    <cfRule type="colorScale" priority="1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229:Z233">
    <cfRule type="colorScale" priority="1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312:V316">
    <cfRule type="colorScale" priority="1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312:Z316">
    <cfRule type="colorScale" priority="12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29:K233">
    <cfRule type="colorScale" priority="1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311:U315">
    <cfRule type="colorScale" priority="1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236:Z240">
    <cfRule type="colorScale" priority="127">
      <colorScale>
        <cfvo type="min"/>
        <cfvo type="max"/>
        <color rgb="FFFFFFFF"/>
        <color rgb="FF57BB8A"/>
      </colorScale>
    </cfRule>
  </conditionalFormatting>
  <conditionalFormatting sqref="V319:V323">
    <cfRule type="colorScale" priority="128">
      <colorScale>
        <cfvo type="min"/>
        <cfvo type="max"/>
        <color rgb="FFFFFFFF"/>
        <color rgb="FF57BB8A"/>
      </colorScale>
    </cfRule>
  </conditionalFormatting>
  <conditionalFormatting sqref="X319:Z323">
    <cfRule type="colorScale" priority="129">
      <colorScale>
        <cfvo type="min"/>
        <cfvo type="max"/>
        <color rgb="FFFFFFFF"/>
        <color rgb="FF57BB8A"/>
      </colorScale>
    </cfRule>
  </conditionalFormatting>
  <conditionalFormatting sqref="N318:U322">
    <cfRule type="colorScale" priority="130">
      <colorScale>
        <cfvo type="min"/>
        <cfvo type="max"/>
        <color rgb="FFFFFFFF"/>
        <color rgb="FF57BB8A"/>
      </colorScale>
    </cfRule>
  </conditionalFormatting>
  <conditionalFormatting sqref="N188:R192">
    <cfRule type="colorScale" priority="131">
      <colorScale>
        <cfvo type="min"/>
        <cfvo type="max"/>
        <color rgb="FFFFFFFF"/>
        <color rgb="FF57BB8A"/>
      </colorScale>
    </cfRule>
  </conditionalFormatting>
  <conditionalFormatting sqref="G236:K240">
    <cfRule type="colorScale" priority="132">
      <colorScale>
        <cfvo type="min"/>
        <cfvo type="max"/>
        <color rgb="FFFFFFFF"/>
        <color rgb="FF57BB8A"/>
      </colorScale>
    </cfRule>
  </conditionalFormatting>
  <conditionalFormatting sqref="V243:Z247">
    <cfRule type="colorScale" priority="1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43:K247">
    <cfRule type="colorScale" priority="1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70:N374 J382:N388">
    <cfRule type="colorScale" priority="13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9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4" t="s">
        <v>1</v>
      </c>
      <c r="AA10" s="4"/>
      <c r="AB10" s="4"/>
      <c r="AC10" s="4"/>
    </row>
    <row r="11">
      <c r="B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C12" s="5"/>
      <c r="I12" s="6" t="s">
        <v>2</v>
      </c>
      <c r="J12" s="7">
        <f t="shared" ref="J12:N12" si="1">NORMINV(rand(),0, 1)</f>
        <v>0.08332859723</v>
      </c>
      <c r="K12" s="8">
        <f t="shared" si="1"/>
        <v>0.6014811282</v>
      </c>
      <c r="L12" s="8">
        <f t="shared" si="1"/>
        <v>1.774765525</v>
      </c>
      <c r="M12" s="8">
        <f t="shared" si="1"/>
        <v>2.514031682</v>
      </c>
      <c r="N12" s="9">
        <f t="shared" si="1"/>
        <v>1.96845646</v>
      </c>
      <c r="O12" s="3"/>
      <c r="P12" s="10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I13" s="6" t="s">
        <v>3</v>
      </c>
      <c r="J13" s="11">
        <f t="shared" ref="J13:N13" si="2">NORMINV(rand(),0, 1)</f>
        <v>-0.1262883525</v>
      </c>
      <c r="K13" s="10">
        <f t="shared" si="2"/>
        <v>-1.125168184</v>
      </c>
      <c r="L13" s="10">
        <f t="shared" si="2"/>
        <v>0.6655394607</v>
      </c>
      <c r="M13" s="10">
        <f t="shared" si="2"/>
        <v>0.9094515018</v>
      </c>
      <c r="N13" s="12">
        <f t="shared" si="2"/>
        <v>-1.87181497</v>
      </c>
      <c r="O13" s="3"/>
      <c r="P13" s="10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I14" s="1"/>
      <c r="J14" s="11">
        <f t="shared" ref="J14:N14" si="3">NORMINV(rand(),0, 1)</f>
        <v>0.1456255431</v>
      </c>
      <c r="K14" s="10">
        <f t="shared" si="3"/>
        <v>-0.7510483641</v>
      </c>
      <c r="L14" s="10">
        <f t="shared" si="3"/>
        <v>-0.9436076065</v>
      </c>
      <c r="M14" s="10">
        <f t="shared" si="3"/>
        <v>-1.073756284</v>
      </c>
      <c r="N14" s="12">
        <f t="shared" si="3"/>
        <v>-0.2327911301</v>
      </c>
      <c r="O14" s="3"/>
      <c r="P14" s="10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I15" s="1"/>
      <c r="J15" s="11">
        <f t="shared" ref="J15:N15" si="4">NORMINV(rand(),0, 1)</f>
        <v>0.1242374278</v>
      </c>
      <c r="K15" s="10">
        <f t="shared" si="4"/>
        <v>-0.8366108005</v>
      </c>
      <c r="L15" s="10">
        <f t="shared" si="4"/>
        <v>0.862242419</v>
      </c>
      <c r="M15" s="10">
        <f t="shared" si="4"/>
        <v>1.144052818</v>
      </c>
      <c r="N15" s="12">
        <f t="shared" si="4"/>
        <v>0.8220727181</v>
      </c>
      <c r="O15" s="3"/>
      <c r="P15" s="10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I16" s="1"/>
      <c r="J16" s="13">
        <f t="shared" ref="J16:N16" si="5">NORMINV(rand(),0, 1)</f>
        <v>0.7024054143</v>
      </c>
      <c r="K16" s="14">
        <f t="shared" si="5"/>
        <v>1.157764601</v>
      </c>
      <c r="L16" s="14">
        <f t="shared" si="5"/>
        <v>-0.5813737978</v>
      </c>
      <c r="M16" s="14">
        <f t="shared" si="5"/>
        <v>1.066374716</v>
      </c>
      <c r="N16" s="15">
        <f t="shared" si="5"/>
        <v>-0.2294132702</v>
      </c>
      <c r="O16" s="3"/>
      <c r="P16" s="10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I17" s="2"/>
      <c r="J17" s="1"/>
      <c r="K17" s="8"/>
      <c r="L17" s="16" t="s">
        <v>4</v>
      </c>
      <c r="M17" s="17"/>
      <c r="N17" s="8"/>
      <c r="O17" s="18"/>
      <c r="P17" s="10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B18" s="1"/>
      <c r="C18" s="2"/>
      <c r="D18" s="2"/>
      <c r="E18" s="2"/>
      <c r="F18" s="2"/>
      <c r="G18" s="2"/>
      <c r="H18" s="2"/>
      <c r="I18" s="2"/>
      <c r="J18" s="2"/>
      <c r="K18" s="2"/>
      <c r="L18" s="17" t="s">
        <v>4</v>
      </c>
      <c r="M18" s="17"/>
      <c r="N18" s="2"/>
      <c r="O18" s="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B19" s="6" t="s">
        <v>5</v>
      </c>
      <c r="C19" s="7">
        <f t="shared" ref="C19:G19" si="6">NORMINV(rand(),0, 1)</f>
        <v>1.272113566</v>
      </c>
      <c r="D19" s="8">
        <f t="shared" si="6"/>
        <v>0.4677891308</v>
      </c>
      <c r="E19" s="8">
        <f t="shared" si="6"/>
        <v>-1.677017653</v>
      </c>
      <c r="F19" s="8">
        <f t="shared" si="6"/>
        <v>0.2993713184</v>
      </c>
      <c r="G19" s="8">
        <f t="shared" si="6"/>
        <v>0.4768132426</v>
      </c>
      <c r="H19" s="11"/>
      <c r="I19" s="6" t="s">
        <v>6</v>
      </c>
      <c r="J19" s="7">
        <f t="array" ref="J19:N23">MMULT(C19:G23,$J$12:$N$16)</f>
        <v>0.1748198395</v>
      </c>
      <c r="K19" s="8">
        <v>1.7999124360649905</v>
      </c>
      <c r="L19" s="8">
        <v>4.132405963562511</v>
      </c>
      <c r="M19" s="8">
        <v>6.275231764090648</v>
      </c>
      <c r="N19" s="9">
        <v>2.1555980110234176</v>
      </c>
      <c r="O19" s="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B20" s="1"/>
      <c r="C20" s="11">
        <f t="shared" ref="C20:G20" si="7">NORMINV(rand(),0, 1)</f>
        <v>-0.790357096</v>
      </c>
      <c r="D20" s="10">
        <f t="shared" si="7"/>
        <v>-1.216593153</v>
      </c>
      <c r="E20" s="10">
        <f t="shared" si="7"/>
        <v>1.248459112</v>
      </c>
      <c r="F20" s="10">
        <f t="shared" si="7"/>
        <v>0.3431122602</v>
      </c>
      <c r="G20" s="10">
        <f t="shared" si="7"/>
        <v>-0.1720587192</v>
      </c>
      <c r="H20" s="11"/>
      <c r="I20" s="6" t="s">
        <v>7</v>
      </c>
      <c r="J20" s="11">
        <v>0.1913621418054802</v>
      </c>
      <c r="K20" s="10">
        <v>-0.5304210601237261</v>
      </c>
      <c r="L20" s="10">
        <v>-2.994568415056732</v>
      </c>
      <c r="M20" s="10">
        <v>-4.224896585034857</v>
      </c>
      <c r="N20" s="12">
        <v>0.7523593192058667</v>
      </c>
      <c r="O20" s="3"/>
      <c r="P20" s="10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B21" s="1"/>
      <c r="C21" s="11">
        <f t="shared" ref="C21:G21" si="8">NORMINV(rand(),0, 1)</f>
        <v>-1.334301649</v>
      </c>
      <c r="D21" s="10">
        <f t="shared" si="8"/>
        <v>-0.1036416648</v>
      </c>
      <c r="E21" s="10">
        <f t="shared" si="8"/>
        <v>0.3799631551</v>
      </c>
      <c r="F21" s="10">
        <f t="shared" si="8"/>
        <v>-0.7124373642</v>
      </c>
      <c r="G21" s="10">
        <f t="shared" si="8"/>
        <v>1.041794305</v>
      </c>
      <c r="H21" s="19" t="s">
        <v>8</v>
      </c>
      <c r="I21" s="17" t="s">
        <v>8</v>
      </c>
      <c r="J21" s="11">
        <v>0.6004861658759333</v>
      </c>
      <c r="K21" s="10">
        <v>0.8308716973172071</v>
      </c>
      <c r="L21" s="10">
        <v>-4.015551934140899</v>
      </c>
      <c r="M21" s="10">
        <v>-3.560844378952919</v>
      </c>
      <c r="N21" s="12">
        <v>-3.345645490584236</v>
      </c>
      <c r="O21" s="3"/>
      <c r="P21" s="10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B22" s="1"/>
      <c r="C22" s="11">
        <f t="shared" ref="C22:G22" si="9">NORMINV(rand(),0, 1)</f>
        <v>-0.6587649636</v>
      </c>
      <c r="D22" s="10">
        <f t="shared" si="9"/>
        <v>1.013542304</v>
      </c>
      <c r="E22" s="10">
        <f t="shared" si="9"/>
        <v>-1.004633253</v>
      </c>
      <c r="F22" s="10">
        <f t="shared" si="9"/>
        <v>0.1151676102</v>
      </c>
      <c r="G22" s="10">
        <f t="shared" si="9"/>
        <v>-0.2364351979</v>
      </c>
      <c r="H22" s="11"/>
      <c r="I22" s="2"/>
      <c r="J22" s="11">
        <v>-0.480958046658329</v>
      </c>
      <c r="K22" s="10">
        <v>-1.1521988540639825</v>
      </c>
      <c r="L22" s="10">
        <v>0.6901382591238492</v>
      </c>
      <c r="M22" s="10">
        <v>0.22397216094336625</v>
      </c>
      <c r="N22" s="12">
        <v>-2.811126572041279</v>
      </c>
      <c r="O22" s="3"/>
      <c r="P22" s="10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B23" s="1"/>
      <c r="C23" s="13">
        <f t="shared" ref="C23:G23" si="10">NORMINV(rand(),0, 1)</f>
        <v>0.162552003</v>
      </c>
      <c r="D23" s="14">
        <f t="shared" si="10"/>
        <v>0.4494298084</v>
      </c>
      <c r="E23" s="14">
        <f t="shared" si="10"/>
        <v>-0.07430562902</v>
      </c>
      <c r="F23" s="14">
        <f t="shared" si="10"/>
        <v>-0.2087316321</v>
      </c>
      <c r="G23" s="14">
        <f t="shared" si="10"/>
        <v>0.8281020358</v>
      </c>
      <c r="H23" s="11"/>
      <c r="I23" s="2"/>
      <c r="J23" s="13">
        <v>0.5016977552051195</v>
      </c>
      <c r="K23" s="14">
        <v>0.781269322632865</v>
      </c>
      <c r="L23" s="14">
        <v>-0.0036937730002819524</v>
      </c>
      <c r="M23" s="14">
        <v>1.5414486971255528</v>
      </c>
      <c r="N23" s="15">
        <v>-0.8655453878677829</v>
      </c>
      <c r="O23" s="3"/>
      <c r="P23" s="10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O24" s="3"/>
      <c r="P24" s="10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4" t="s">
        <v>9</v>
      </c>
      <c r="AA25" s="4"/>
      <c r="AB25" s="4"/>
      <c r="AC25" s="4"/>
    </row>
    <row r="26">
      <c r="B26" s="1"/>
      <c r="C26" s="10"/>
      <c r="D26" s="10"/>
      <c r="E26" s="10"/>
      <c r="F26" s="10"/>
      <c r="G26" s="10"/>
      <c r="H26" s="10"/>
      <c r="I26" s="2"/>
      <c r="J26" s="2"/>
      <c r="K26" s="10"/>
      <c r="L26" s="10"/>
      <c r="M26" s="10"/>
      <c r="N26" s="10"/>
      <c r="O26" s="18"/>
      <c r="P26" s="10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C27" s="5"/>
      <c r="I27" s="6" t="s">
        <v>2</v>
      </c>
      <c r="J27" s="7">
        <f t="array" ref="J27:N31">J12:N16</f>
        <v>0.08332859723</v>
      </c>
      <c r="K27" s="8">
        <v>0.6014811281828485</v>
      </c>
      <c r="L27" s="8">
        <v>1.7747655247078629</v>
      </c>
      <c r="M27" s="8">
        <v>2.5140316820295086</v>
      </c>
      <c r="N27" s="9">
        <v>1.968456459689384</v>
      </c>
      <c r="O27" s="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I28" s="6" t="s">
        <v>3</v>
      </c>
      <c r="J28" s="11">
        <v>-0.12628835250822928</v>
      </c>
      <c r="K28" s="10">
        <v>-1.1251681837560528</v>
      </c>
      <c r="L28" s="10">
        <v>0.6655394607294783</v>
      </c>
      <c r="M28" s="10">
        <v>0.9094515017955629</v>
      </c>
      <c r="N28" s="12">
        <v>-1.8718149699866216</v>
      </c>
      <c r="O28" s="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I29" s="1"/>
      <c r="J29" s="11">
        <v>0.14562554314926865</v>
      </c>
      <c r="K29" s="10">
        <v>-0.7510483641409386</v>
      </c>
      <c r="L29" s="10">
        <v>-0.9436076064986235</v>
      </c>
      <c r="M29" s="10">
        <v>-1.0737562835030203</v>
      </c>
      <c r="N29" s="12">
        <v>-0.2327911300818983</v>
      </c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I30" s="1"/>
      <c r="J30" s="11">
        <v>0.1242374278008953</v>
      </c>
      <c r="K30" s="10">
        <v>-0.836610800512334</v>
      </c>
      <c r="L30" s="10">
        <v>0.8622424189521523</v>
      </c>
      <c r="M30" s="10">
        <v>1.144052817641033</v>
      </c>
      <c r="N30" s="12">
        <v>0.8220727180965955</v>
      </c>
      <c r="O30" s="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I31" s="1"/>
      <c r="J31" s="13">
        <v>0.7024054143034535</v>
      </c>
      <c r="K31" s="14">
        <v>1.157764600553636</v>
      </c>
      <c r="L31" s="14">
        <v>-0.5813737977522885</v>
      </c>
      <c r="M31" s="14">
        <v>1.066374716086232</v>
      </c>
      <c r="N31" s="15">
        <v>-0.22941327020344043</v>
      </c>
      <c r="O31" s="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I32" s="2"/>
      <c r="J32" s="1"/>
      <c r="K32" s="8"/>
      <c r="L32" s="16" t="s">
        <v>4</v>
      </c>
      <c r="M32" s="17"/>
      <c r="N32" s="8"/>
      <c r="O32" s="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B33" s="1"/>
      <c r="C33" s="2"/>
      <c r="D33" s="2"/>
      <c r="E33" s="2"/>
      <c r="F33" s="2"/>
      <c r="G33" s="2"/>
      <c r="H33" s="2"/>
      <c r="I33" s="2"/>
      <c r="J33" s="2"/>
      <c r="K33" s="2"/>
      <c r="L33" s="17" t="s">
        <v>4</v>
      </c>
      <c r="M33" s="17"/>
      <c r="N33" s="2"/>
      <c r="O33" s="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B34" s="6" t="s">
        <v>10</v>
      </c>
      <c r="C34" s="7">
        <f t="shared" ref="C34:G34" si="11">NORMINV(rand(),0, 1)</f>
        <v>1.063651829</v>
      </c>
      <c r="D34" s="8">
        <f t="shared" si="11"/>
        <v>0.3533824135</v>
      </c>
      <c r="E34" s="8">
        <f t="shared" si="11"/>
        <v>-0.7836706658</v>
      </c>
      <c r="F34" s="8">
        <f t="shared" si="11"/>
        <v>0.4793204895</v>
      </c>
      <c r="G34" s="8">
        <f t="shared" si="11"/>
        <v>-0.4313986444</v>
      </c>
      <c r="H34" s="11"/>
      <c r="I34" s="6" t="s">
        <v>11</v>
      </c>
      <c r="J34" s="7">
        <f t="array" ref="J34:N38">MMULT(C34:G38,$J$12:$N$16)</f>
        <v>-0.3135851332</v>
      </c>
      <c r="K34" s="8">
        <v>-0.06973635245665488</v>
      </c>
      <c r="L34" s="8">
        <v>3.5264944649937684</v>
      </c>
      <c r="M34" s="8">
        <v>3.9252452143820347</v>
      </c>
      <c r="N34" s="9">
        <v>2.1077222730939007</v>
      </c>
      <c r="O34" s="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B35" s="1"/>
      <c r="C35" s="11">
        <f t="shared" ref="C35:G35" si="12">NORMINV(rand(),0, 1)</f>
        <v>0.3010094291</v>
      </c>
      <c r="D35" s="10">
        <f t="shared" si="12"/>
        <v>-0.2415732106</v>
      </c>
      <c r="E35" s="10">
        <f t="shared" si="12"/>
        <v>-1.464009866</v>
      </c>
      <c r="F35" s="10">
        <f t="shared" si="12"/>
        <v>-0.388979016</v>
      </c>
      <c r="G35" s="10">
        <f t="shared" si="12"/>
        <v>-0.6709583133</v>
      </c>
      <c r="H35" s="11"/>
      <c r="I35" s="6" t="s">
        <v>12</v>
      </c>
      <c r="J35" s="11">
        <v>-0.6772171601592967</v>
      </c>
      <c r="K35" s="10">
        <v>1.1010164592888851</v>
      </c>
      <c r="L35" s="10">
        <v>1.8095788740560756</v>
      </c>
      <c r="M35" s="10">
        <v>0.948532395262175</v>
      </c>
      <c r="N35" s="12">
        <v>1.2196705221076773</v>
      </c>
      <c r="O35" s="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B36" s="1"/>
      <c r="C36" s="11">
        <f t="shared" ref="C36:G36" si="13">NORMINV(rand(),0, 1)</f>
        <v>1.429843389</v>
      </c>
      <c r="D36" s="10">
        <f t="shared" si="13"/>
        <v>1.460942321</v>
      </c>
      <c r="E36" s="10">
        <f t="shared" si="13"/>
        <v>2.143369668</v>
      </c>
      <c r="F36" s="10">
        <f t="shared" si="13"/>
        <v>-0.1128867608</v>
      </c>
      <c r="G36" s="10">
        <f t="shared" si="13"/>
        <v>-0.4410943118</v>
      </c>
      <c r="H36" s="19" t="s">
        <v>8</v>
      </c>
      <c r="I36" s="17" t="s">
        <v>8</v>
      </c>
      <c r="J36" s="11">
        <v>-0.07707557642800147</v>
      </c>
      <c r="K36" s="10">
        <v>-2.8097973826441733</v>
      </c>
      <c r="L36" s="10">
        <v>1.6465565147489885</v>
      </c>
      <c r="M36" s="10">
        <v>2.0223508789709173</v>
      </c>
      <c r="N36" s="12">
        <v>-0.41059493645103445</v>
      </c>
      <c r="O36" s="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B37" s="1"/>
      <c r="C37" s="11">
        <f t="shared" ref="C37:G37" si="14">NORMINV(rand(),0, 1)</f>
        <v>0.1348799047</v>
      </c>
      <c r="D37" s="10">
        <f t="shared" si="14"/>
        <v>0.05813052068</v>
      </c>
      <c r="E37" s="10">
        <f t="shared" si="14"/>
        <v>-0.5318738183</v>
      </c>
      <c r="F37" s="10">
        <f t="shared" si="14"/>
        <v>-0.006414366753</v>
      </c>
      <c r="G37" s="10">
        <f t="shared" si="14"/>
        <v>-0.4430534389</v>
      </c>
      <c r="H37" s="11"/>
      <c r="I37" s="2"/>
      <c r="J37" s="11">
        <v>-0.38555630687214715</v>
      </c>
      <c r="K37" s="10">
        <v>-0.0924011931671137</v>
      </c>
      <c r="L37" s="10">
        <v>1.0319974622434294</v>
      </c>
      <c r="M37" s="10">
        <v>0.483262738039108</v>
      </c>
      <c r="N37" s="12">
        <v>0.37688041055637433</v>
      </c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B38" s="1"/>
      <c r="C38" s="13">
        <f t="shared" ref="C38:G38" si="15">NORMINV(rand(),0, 1)</f>
        <v>-0.2990583682</v>
      </c>
      <c r="D38" s="14">
        <f t="shared" si="15"/>
        <v>-0.8022097779</v>
      </c>
      <c r="E38" s="14">
        <f t="shared" si="15"/>
        <v>0.4200814069</v>
      </c>
      <c r="F38" s="14">
        <f t="shared" si="15"/>
        <v>0.5236660322</v>
      </c>
      <c r="G38" s="14">
        <f t="shared" si="15"/>
        <v>-0.2443800555</v>
      </c>
      <c r="H38" s="11"/>
      <c r="I38" s="2"/>
      <c r="J38" s="13">
        <v>0.030969266699699766</v>
      </c>
      <c r="K38" s="14">
        <v>-0.3137977351310261</v>
      </c>
      <c r="L38" s="14">
        <v>-0.867449528304241</v>
      </c>
      <c r="M38" s="14">
        <v>-1.5939772625222945</v>
      </c>
      <c r="N38" s="15">
        <v>1.3016692554019118</v>
      </c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4" t="s">
        <v>13</v>
      </c>
      <c r="AA40" s="4"/>
      <c r="AB40" s="4"/>
      <c r="AC40" s="4"/>
    </row>
    <row r="41">
      <c r="B41" s="1"/>
      <c r="C41" s="10"/>
      <c r="D41" s="10"/>
      <c r="E41" s="10"/>
      <c r="F41" s="10"/>
      <c r="G41" s="10"/>
      <c r="H41" s="10"/>
      <c r="I41" s="2"/>
      <c r="J41" s="2"/>
      <c r="K41" s="10"/>
      <c r="L41" s="10"/>
      <c r="M41" s="10"/>
      <c r="N41" s="10"/>
      <c r="O41" s="18"/>
      <c r="P41" s="10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C42" s="5"/>
      <c r="I42" s="6" t="s">
        <v>2</v>
      </c>
      <c r="J42" s="20">
        <f t="array" ref="J42:N46">J12:N16</f>
        <v>0.08332859723</v>
      </c>
      <c r="K42" s="8">
        <v>0.6014811281828485</v>
      </c>
      <c r="L42" s="8">
        <v>1.7747655247078629</v>
      </c>
      <c r="M42" s="8">
        <v>2.5140316820295086</v>
      </c>
      <c r="N42" s="9">
        <v>1.968456459689384</v>
      </c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I43" s="6" t="s">
        <v>3</v>
      </c>
      <c r="J43" s="11">
        <v>-0.12628835250822928</v>
      </c>
      <c r="K43" s="10">
        <v>-1.1251681837560528</v>
      </c>
      <c r="L43" s="10">
        <v>0.6655394607294783</v>
      </c>
      <c r="M43" s="10">
        <v>0.9094515017955629</v>
      </c>
      <c r="N43" s="12">
        <v>-1.8718149699866216</v>
      </c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I44" s="1"/>
      <c r="J44" s="11">
        <v>0.14562554314926865</v>
      </c>
      <c r="K44" s="10">
        <v>-0.7510483641409386</v>
      </c>
      <c r="L44" s="10">
        <v>-0.9436076064986235</v>
      </c>
      <c r="M44" s="10">
        <v>-1.0737562835030203</v>
      </c>
      <c r="N44" s="12">
        <v>-0.2327911300818983</v>
      </c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I45" s="1"/>
      <c r="J45" s="11">
        <v>0.1242374278008953</v>
      </c>
      <c r="K45" s="10">
        <v>-0.836610800512334</v>
      </c>
      <c r="L45" s="10">
        <v>0.8622424189521523</v>
      </c>
      <c r="M45" s="10">
        <v>1.144052817641033</v>
      </c>
      <c r="N45" s="12">
        <v>0.8220727180965955</v>
      </c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I46" s="1"/>
      <c r="J46" s="13">
        <v>0.7024054143034535</v>
      </c>
      <c r="K46" s="14">
        <v>1.157764600553636</v>
      </c>
      <c r="L46" s="14">
        <v>-0.5813737977522885</v>
      </c>
      <c r="M46" s="14">
        <v>1.066374716086232</v>
      </c>
      <c r="N46" s="15">
        <v>-0.22941327020344043</v>
      </c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I47" s="2"/>
      <c r="J47" s="1"/>
      <c r="K47" s="8"/>
      <c r="L47" s="16" t="s">
        <v>4</v>
      </c>
      <c r="M47" s="17"/>
      <c r="N47" s="8"/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17" t="s">
        <v>4</v>
      </c>
      <c r="M48" s="17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B49" s="6" t="s">
        <v>14</v>
      </c>
      <c r="C49" s="7">
        <f t="shared" ref="C49:G49" si="16">NORMINV(rand(),0, 1)</f>
        <v>0.1749051085</v>
      </c>
      <c r="D49" s="8">
        <f t="shared" si="16"/>
        <v>0.6017472567</v>
      </c>
      <c r="E49" s="8">
        <f t="shared" si="16"/>
        <v>-1.815175902</v>
      </c>
      <c r="F49" s="8">
        <f t="shared" si="16"/>
        <v>-0.04529971632</v>
      </c>
      <c r="G49" s="8">
        <f t="shared" si="16"/>
        <v>0.9989031157</v>
      </c>
      <c r="H49" s="11"/>
      <c r="I49" s="6" t="s">
        <v>15</v>
      </c>
      <c r="J49" s="7">
        <f t="array" ref="J49:N53">MMULT(C49:G53,$J$12:$N$16)</f>
        <v>0.3702519877</v>
      </c>
      <c r="K49" s="8">
        <v>1.9858130442454094</v>
      </c>
      <c r="L49" s="8">
        <v>1.8039204543317038</v>
      </c>
      <c r="M49" s="8">
        <v>3.949413218716684</v>
      </c>
      <c r="N49" s="9">
        <v>-0.6259108743847073</v>
      </c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B50" s="1"/>
      <c r="C50" s="11">
        <f t="shared" ref="C50:G50" si="17">NORMINV(rand(),0, 1)</f>
        <v>-0.7311590888</v>
      </c>
      <c r="D50" s="10">
        <f t="shared" si="17"/>
        <v>1.138065051</v>
      </c>
      <c r="E50" s="10">
        <f t="shared" si="17"/>
        <v>0.4205127851</v>
      </c>
      <c r="F50" s="10">
        <f t="shared" si="17"/>
        <v>0.1278395021</v>
      </c>
      <c r="G50" s="10">
        <f t="shared" si="17"/>
        <v>0.3204998065</v>
      </c>
      <c r="H50" s="11"/>
      <c r="I50" s="6" t="s">
        <v>16</v>
      </c>
      <c r="J50" s="11">
        <v>0.09758983148208986</v>
      </c>
      <c r="K50" s="10">
        <v>-1.7720069967839904</v>
      </c>
      <c r="L50" s="10">
        <v>-1.013109354480193</v>
      </c>
      <c r="M50" s="10">
        <v>-0.7666423567921097</v>
      </c>
      <c r="N50" s="12">
        <v>-3.635827218288292</v>
      </c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B51" s="1"/>
      <c r="C51" s="11">
        <f t="shared" ref="C51:G51" si="18">NORMINV(rand(),0, 1)</f>
        <v>1.554613225</v>
      </c>
      <c r="D51" s="10">
        <f t="shared" si="18"/>
        <v>-0.2628070636</v>
      </c>
      <c r="E51" s="10">
        <f t="shared" si="18"/>
        <v>2.550731676</v>
      </c>
      <c r="F51" s="10">
        <f t="shared" si="18"/>
        <v>1.007527089</v>
      </c>
      <c r="G51" s="10">
        <f t="shared" si="18"/>
        <v>0.6425955365</v>
      </c>
      <c r="H51" s="19" t="s">
        <v>8</v>
      </c>
      <c r="I51" s="17" t="s">
        <v>8</v>
      </c>
      <c r="J51" s="11">
        <v>1.1107200540957114</v>
      </c>
      <c r="K51" s="10">
        <v>-0.7838838697356622</v>
      </c>
      <c r="L51" s="10">
        <v>0.6724200593505825</v>
      </c>
      <c r="M51" s="10">
        <v>2.768384294645017</v>
      </c>
      <c r="N51" s="12">
        <v>3.6391675202430704</v>
      </c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B52" s="1"/>
      <c r="C52" s="11">
        <f t="shared" ref="C52:G52" si="19">NORMINV(rand(),0, 1)</f>
        <v>-0.4492873379</v>
      </c>
      <c r="D52" s="10">
        <f t="shared" si="19"/>
        <v>0.6442590666</v>
      </c>
      <c r="E52" s="10">
        <f t="shared" si="19"/>
        <v>-0.3526078707</v>
      </c>
      <c r="F52" s="10">
        <f t="shared" si="19"/>
        <v>1.151368676</v>
      </c>
      <c r="G52" s="10">
        <f t="shared" si="19"/>
        <v>0.6769866987</v>
      </c>
      <c r="H52" s="11"/>
      <c r="I52" s="2"/>
      <c r="J52" s="11">
        <v>0.44841259294346936</v>
      </c>
      <c r="K52" s="10">
        <v>-0.90976832942652</v>
      </c>
      <c r="L52" s="10">
        <v>0.5633002072076722</v>
      </c>
      <c r="M52" s="10">
        <v>1.8741627675443584</v>
      </c>
      <c r="N52" s="12">
        <v>-1.2170532984512994</v>
      </c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B53" s="1"/>
      <c r="C53" s="13">
        <f t="shared" ref="C53:G53" si="20">NORMINV(rand(),0, 1)</f>
        <v>0.3814866106</v>
      </c>
      <c r="D53" s="14">
        <f t="shared" si="20"/>
        <v>-1.565146561</v>
      </c>
      <c r="E53" s="14">
        <f t="shared" si="20"/>
        <v>-1.545218611</v>
      </c>
      <c r="F53" s="14">
        <f t="shared" si="20"/>
        <v>-1.315376242</v>
      </c>
      <c r="G53" s="14">
        <f t="shared" si="20"/>
        <v>0.8339358171</v>
      </c>
      <c r="H53" s="11"/>
      <c r="I53" s="2"/>
      <c r="J53" s="13">
        <v>0.4267672975130138</v>
      </c>
      <c r="K53" s="14">
        <v>5.217003359003076</v>
      </c>
      <c r="L53" s="14">
        <v>-0.5255391045823893</v>
      </c>
      <c r="M53" s="14">
        <v>0.5792609018809911</v>
      </c>
      <c r="N53" s="15">
        <v>2.767666866892094</v>
      </c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4" t="s">
        <v>17</v>
      </c>
      <c r="AA55" s="4"/>
      <c r="AB55" s="4"/>
      <c r="AC55" s="4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I63" s="6" t="s">
        <v>5</v>
      </c>
      <c r="J63" s="7">
        <f t="array" ref="J63:N67">$C$19:$G$23</f>
        <v>1.272113566</v>
      </c>
      <c r="K63" s="8">
        <v>0.4677891307809146</v>
      </c>
      <c r="L63" s="8">
        <v>-1.677017652996455</v>
      </c>
      <c r="M63" s="8">
        <v>0.2993713183936993</v>
      </c>
      <c r="N63" s="9">
        <v>0.476813242644485</v>
      </c>
      <c r="O63" s="3"/>
      <c r="P63" s="6" t="s">
        <v>10</v>
      </c>
      <c r="Q63" s="7">
        <f t="array" ref="Q63:U67">$C$34:$G$38</f>
        <v>1.063651829</v>
      </c>
      <c r="R63" s="8">
        <v>0.35338241349605426</v>
      </c>
      <c r="S63" s="8">
        <v>-0.7836706658208885</v>
      </c>
      <c r="T63" s="8">
        <v>0.4793204895350961</v>
      </c>
      <c r="U63" s="9">
        <v>-0.43139864444530585</v>
      </c>
      <c r="V63" s="2"/>
      <c r="W63" s="6" t="s">
        <v>14</v>
      </c>
      <c r="X63" s="7">
        <f t="array" ref="X63:AB67">$C$49:$G$53</f>
        <v>0.1749051085</v>
      </c>
      <c r="Y63" s="8">
        <v>0.6017472566864276</v>
      </c>
      <c r="Z63" s="8">
        <v>-1.8151759015448037</v>
      </c>
      <c r="AA63" s="8">
        <v>-0.04529971631994421</v>
      </c>
      <c r="AB63" s="9">
        <v>0.9989031156748962</v>
      </c>
      <c r="AC63" s="2"/>
    </row>
    <row r="64">
      <c r="I64" s="1"/>
      <c r="J64" s="11">
        <v>-0.7903570959847258</v>
      </c>
      <c r="K64" s="10">
        <v>-1.2165931528714586</v>
      </c>
      <c r="L64" s="10">
        <v>1.2484591117439976</v>
      </c>
      <c r="M64" s="10">
        <v>0.3431122602315513</v>
      </c>
      <c r="N64" s="12">
        <v>-0.1720587191771034</v>
      </c>
      <c r="O64" s="3"/>
      <c r="P64" s="2"/>
      <c r="Q64" s="11">
        <v>0.3010094290779635</v>
      </c>
      <c r="R64" s="10">
        <v>-0.241573210577368</v>
      </c>
      <c r="S64" s="10">
        <v>-1.4640098664579442</v>
      </c>
      <c r="T64" s="10">
        <v>-0.38897901601343676</v>
      </c>
      <c r="U64" s="12">
        <v>-0.6709583132732913</v>
      </c>
      <c r="V64" s="2"/>
      <c r="W64" s="2"/>
      <c r="X64" s="11">
        <v>-0.7311590887766503</v>
      </c>
      <c r="Y64" s="10">
        <v>1.1380650507133832</v>
      </c>
      <c r="Z64" s="10">
        <v>0.4205127850705505</v>
      </c>
      <c r="AA64" s="10">
        <v>0.12783950210618955</v>
      </c>
      <c r="AB64" s="12">
        <v>0.3204998064945621</v>
      </c>
      <c r="AC64" s="2"/>
    </row>
    <row r="65">
      <c r="I65" s="1"/>
      <c r="J65" s="11">
        <v>-1.3343016485850847</v>
      </c>
      <c r="K65" s="10">
        <v>-0.10364166483408346</v>
      </c>
      <c r="L65" s="10">
        <v>0.3799631551073586</v>
      </c>
      <c r="M65" s="10">
        <v>-0.712437364154779</v>
      </c>
      <c r="N65" s="12">
        <v>1.0417943046639955</v>
      </c>
      <c r="O65" s="3"/>
      <c r="P65" s="2"/>
      <c r="Q65" s="11">
        <v>1.4298433885396915</v>
      </c>
      <c r="R65" s="10">
        <v>1.460942320576962</v>
      </c>
      <c r="S65" s="10">
        <v>2.1433696684782952</v>
      </c>
      <c r="T65" s="10">
        <v>-0.11288676076020235</v>
      </c>
      <c r="U65" s="12">
        <v>-0.4410943118096567</v>
      </c>
      <c r="V65" s="2"/>
      <c r="W65" s="2"/>
      <c r="X65" s="11">
        <v>1.5546132248103544</v>
      </c>
      <c r="Y65" s="10">
        <v>-0.2628070636114019</v>
      </c>
      <c r="Z65" s="10">
        <v>2.550731676142416</v>
      </c>
      <c r="AA65" s="10">
        <v>1.0075270888922152</v>
      </c>
      <c r="AB65" s="12">
        <v>0.6425955364544543</v>
      </c>
      <c r="AC65" s="2"/>
    </row>
    <row r="66">
      <c r="I66" s="1"/>
      <c r="J66" s="11">
        <v>-0.6587649635968295</v>
      </c>
      <c r="K66" s="10">
        <v>1.013542303644277</v>
      </c>
      <c r="L66" s="10">
        <v>-1.0046332532170803</v>
      </c>
      <c r="M66" s="10">
        <v>0.11516761022958702</v>
      </c>
      <c r="N66" s="12">
        <v>-0.23643519785730416</v>
      </c>
      <c r="O66" s="3"/>
      <c r="P66" s="2"/>
      <c r="Q66" s="11">
        <v>0.13487990473101663</v>
      </c>
      <c r="R66" s="10">
        <v>0.05813052067536804</v>
      </c>
      <c r="S66" s="10">
        <v>-0.53187381832848</v>
      </c>
      <c r="T66" s="10">
        <v>-0.0064143667526808</v>
      </c>
      <c r="U66" s="12">
        <v>-0.44305343893592236</v>
      </c>
      <c r="V66" s="2"/>
      <c r="W66" s="2"/>
      <c r="X66" s="11">
        <v>-0.44928733787028924</v>
      </c>
      <c r="Y66" s="10">
        <v>0.6442590666264992</v>
      </c>
      <c r="Z66" s="10">
        <v>-0.35260787067670146</v>
      </c>
      <c r="AA66" s="10">
        <v>1.1513686762753217</v>
      </c>
      <c r="AB66" s="12">
        <v>0.6769866986883526</v>
      </c>
      <c r="AC66" s="2"/>
    </row>
    <row r="67">
      <c r="I67" s="1"/>
      <c r="J67" s="13">
        <v>0.16255200297869576</v>
      </c>
      <c r="K67" s="14">
        <v>0.44942980835304286</v>
      </c>
      <c r="L67" s="14">
        <v>-0.07430562901810317</v>
      </c>
      <c r="M67" s="14">
        <v>-0.20873163214101953</v>
      </c>
      <c r="N67" s="15">
        <v>0.8281020358081082</v>
      </c>
      <c r="O67" s="3"/>
      <c r="P67" s="2"/>
      <c r="Q67" s="13">
        <v>-0.2990583681709889</v>
      </c>
      <c r="R67" s="14">
        <v>-0.8022097778861991</v>
      </c>
      <c r="S67" s="14">
        <v>0.42008140693245327</v>
      </c>
      <c r="T67" s="14">
        <v>0.523666032215578</v>
      </c>
      <c r="U67" s="15">
        <v>-0.24438005549284048</v>
      </c>
      <c r="V67" s="2"/>
      <c r="W67" s="2"/>
      <c r="X67" s="13">
        <v>0.38148661062891887</v>
      </c>
      <c r="Y67" s="14">
        <v>-1.5651465608895778</v>
      </c>
      <c r="Z67" s="14">
        <v>-1.5452186106460883</v>
      </c>
      <c r="AA67" s="14">
        <v>-1.3153762420570148</v>
      </c>
      <c r="AB67" s="15">
        <v>0.8339358171405349</v>
      </c>
      <c r="AC67" s="2"/>
    </row>
    <row r="68">
      <c r="I68" s="1"/>
      <c r="J68" s="2"/>
      <c r="K68" s="2"/>
      <c r="L68" s="21" t="s">
        <v>4</v>
      </c>
      <c r="M68" s="2"/>
      <c r="N68" s="2"/>
      <c r="O68" s="3"/>
      <c r="P68" s="2"/>
      <c r="Q68" s="2"/>
      <c r="R68" s="2"/>
      <c r="S68" s="21" t="s">
        <v>4</v>
      </c>
      <c r="T68" s="2"/>
      <c r="U68" s="2"/>
      <c r="V68" s="2"/>
      <c r="W68" s="2"/>
      <c r="X68" s="2"/>
      <c r="Y68" s="2"/>
      <c r="Z68" s="21" t="s">
        <v>4</v>
      </c>
      <c r="AA68" s="2"/>
      <c r="AB68" s="2"/>
      <c r="AC68" s="2"/>
    </row>
    <row r="69">
      <c r="I69" s="1"/>
      <c r="J69" s="2"/>
      <c r="K69" s="2"/>
      <c r="L69" s="21" t="s">
        <v>4</v>
      </c>
      <c r="M69" s="2"/>
      <c r="N69" s="2"/>
      <c r="O69" s="3"/>
      <c r="P69" s="2"/>
      <c r="Q69" s="2"/>
      <c r="R69" s="2"/>
      <c r="S69" s="21" t="s">
        <v>4</v>
      </c>
      <c r="T69" s="2"/>
      <c r="U69" s="2"/>
      <c r="V69" s="2"/>
      <c r="W69" s="2"/>
      <c r="X69" s="2"/>
      <c r="Y69" s="2"/>
      <c r="Z69" s="21" t="s">
        <v>4</v>
      </c>
      <c r="AA69" s="2"/>
      <c r="AB69" s="2"/>
      <c r="AC69" s="2"/>
    </row>
    <row r="70">
      <c r="B70" s="6" t="s">
        <v>2</v>
      </c>
      <c r="C70" s="7">
        <f t="array" ref="C70:G74">$J$12:$N$16</f>
        <v>0.08332859723</v>
      </c>
      <c r="D70" s="8">
        <v>0.6014811281828485</v>
      </c>
      <c r="E70" s="8">
        <v>1.7747655247078629</v>
      </c>
      <c r="F70" s="8">
        <v>2.5140316820295086</v>
      </c>
      <c r="G70" s="9">
        <v>1.968456459689384</v>
      </c>
      <c r="I70" s="6" t="s">
        <v>6</v>
      </c>
      <c r="J70" s="7">
        <f t="array" ref="J70:N74">MMULT(J63:N67,C70:G74)</f>
        <v>0.1748198395</v>
      </c>
      <c r="K70" s="8">
        <v>1.7999124360649905</v>
      </c>
      <c r="L70" s="8">
        <v>4.132405963562511</v>
      </c>
      <c r="M70" s="8">
        <v>6.275231764090648</v>
      </c>
      <c r="N70" s="9">
        <v>2.1555980110234176</v>
      </c>
      <c r="O70" s="3"/>
      <c r="P70" s="6" t="s">
        <v>11</v>
      </c>
      <c r="Q70" s="7">
        <f t="array" ref="Q70:U74">MMULT(Q63:U67,C70:G74)</f>
        <v>-0.3135851332</v>
      </c>
      <c r="R70" s="8">
        <v>-0.06973635245665488</v>
      </c>
      <c r="S70" s="8">
        <v>3.5264944649937684</v>
      </c>
      <c r="T70" s="8">
        <v>3.9252452143820347</v>
      </c>
      <c r="U70" s="9">
        <v>2.1077222730939007</v>
      </c>
      <c r="V70" s="2"/>
      <c r="W70" s="6" t="s">
        <v>15</v>
      </c>
      <c r="X70" s="7">
        <f t="array" ref="X70:AB74">MMULT(X63:AB67,C70:G74)</f>
        <v>0.3702519877</v>
      </c>
      <c r="Y70" s="8">
        <v>1.9858130442454094</v>
      </c>
      <c r="Z70" s="8">
        <v>1.8039204543317038</v>
      </c>
      <c r="AA70" s="8">
        <v>3.949413218716684</v>
      </c>
      <c r="AB70" s="9">
        <v>-0.6259108743847073</v>
      </c>
      <c r="AC70" s="10"/>
    </row>
    <row r="71">
      <c r="B71" s="6" t="s">
        <v>3</v>
      </c>
      <c r="C71" s="11">
        <v>-0.12628835250822928</v>
      </c>
      <c r="D71" s="10">
        <v>-1.1251681837560528</v>
      </c>
      <c r="E71" s="10">
        <v>0.6655394607294783</v>
      </c>
      <c r="F71" s="10">
        <v>0.9094515017955629</v>
      </c>
      <c r="G71" s="12">
        <v>-1.8718149699866216</v>
      </c>
      <c r="I71" s="1"/>
      <c r="J71" s="11">
        <v>0.1913621418054802</v>
      </c>
      <c r="K71" s="10">
        <v>-0.5304210601237261</v>
      </c>
      <c r="L71" s="10">
        <v>-2.994568415056732</v>
      </c>
      <c r="M71" s="10">
        <v>-4.224896585034857</v>
      </c>
      <c r="N71" s="12">
        <v>0.7523593192058667</v>
      </c>
      <c r="O71" s="3"/>
      <c r="P71" s="1"/>
      <c r="Q71" s="11">
        <v>-0.6772171601592967</v>
      </c>
      <c r="R71" s="10">
        <v>1.1010164592888851</v>
      </c>
      <c r="S71" s="10">
        <v>1.8095788740560756</v>
      </c>
      <c r="T71" s="10">
        <v>0.948532395262175</v>
      </c>
      <c r="U71" s="12">
        <v>1.2196705221076773</v>
      </c>
      <c r="V71" s="2"/>
      <c r="W71" s="1"/>
      <c r="X71" s="11">
        <v>0.09758983148208986</v>
      </c>
      <c r="Y71" s="10">
        <v>-1.7720069967839904</v>
      </c>
      <c r="Z71" s="10">
        <v>-1.013109354480193</v>
      </c>
      <c r="AA71" s="10">
        <v>-0.7666423567921097</v>
      </c>
      <c r="AB71" s="12">
        <v>-3.635827218288292</v>
      </c>
      <c r="AC71" s="10"/>
    </row>
    <row r="72">
      <c r="B72" s="1"/>
      <c r="C72" s="11">
        <v>0.14562554314926865</v>
      </c>
      <c r="D72" s="10">
        <v>-0.7510483641409386</v>
      </c>
      <c r="E72" s="10">
        <v>-0.9436076064986235</v>
      </c>
      <c r="F72" s="10">
        <v>-1.0737562835030203</v>
      </c>
      <c r="G72" s="12">
        <v>-0.2327911300818983</v>
      </c>
      <c r="H72" s="21"/>
      <c r="I72" s="21"/>
      <c r="J72" s="11">
        <v>0.6004861658759333</v>
      </c>
      <c r="K72" s="10">
        <v>0.8308716973172071</v>
      </c>
      <c r="L72" s="10">
        <v>-4.015551934140899</v>
      </c>
      <c r="M72" s="10">
        <v>-3.560844378952919</v>
      </c>
      <c r="N72" s="12">
        <v>-3.345645490584236</v>
      </c>
      <c r="O72" s="3"/>
      <c r="P72" s="1"/>
      <c r="Q72" s="11">
        <v>-0.07707557642800147</v>
      </c>
      <c r="R72" s="10">
        <v>-2.8097973826441733</v>
      </c>
      <c r="S72" s="10">
        <v>1.6465565147489885</v>
      </c>
      <c r="T72" s="10">
        <v>2.0223508789709173</v>
      </c>
      <c r="U72" s="12">
        <v>-0.41059493645103445</v>
      </c>
      <c r="V72" s="2"/>
      <c r="W72" s="1"/>
      <c r="X72" s="11">
        <v>1.1107200540957114</v>
      </c>
      <c r="Y72" s="10">
        <v>-0.7838838697356622</v>
      </c>
      <c r="Z72" s="10">
        <v>0.6724200593505825</v>
      </c>
      <c r="AA72" s="10">
        <v>2.768384294645017</v>
      </c>
      <c r="AB72" s="12">
        <v>3.6391675202430704</v>
      </c>
      <c r="AC72" s="10"/>
    </row>
    <row r="73">
      <c r="B73" s="1"/>
      <c r="C73" s="11">
        <v>0.1242374278008953</v>
      </c>
      <c r="D73" s="10">
        <v>-0.836610800512334</v>
      </c>
      <c r="E73" s="10">
        <v>0.8622424189521523</v>
      </c>
      <c r="F73" s="10">
        <v>1.144052817641033</v>
      </c>
      <c r="G73" s="12">
        <v>0.8220727180965955</v>
      </c>
      <c r="I73" s="1"/>
      <c r="J73" s="11">
        <v>-0.480958046658329</v>
      </c>
      <c r="K73" s="10">
        <v>-1.1521988540639825</v>
      </c>
      <c r="L73" s="10">
        <v>0.6901382591238492</v>
      </c>
      <c r="M73" s="10">
        <v>0.22397216094336625</v>
      </c>
      <c r="N73" s="12">
        <v>-2.811126572041279</v>
      </c>
      <c r="O73" s="3"/>
      <c r="P73" s="1"/>
      <c r="Q73" s="11">
        <v>-0.38555630687214715</v>
      </c>
      <c r="R73" s="10">
        <v>-0.0924011931671137</v>
      </c>
      <c r="S73" s="10">
        <v>1.0319974622434294</v>
      </c>
      <c r="T73" s="10">
        <v>0.483262738039108</v>
      </c>
      <c r="U73" s="12">
        <v>0.37688041055637433</v>
      </c>
      <c r="V73" s="2"/>
      <c r="W73" s="1"/>
      <c r="X73" s="11">
        <v>0.44841259294346936</v>
      </c>
      <c r="Y73" s="10">
        <v>-0.90976832942652</v>
      </c>
      <c r="Z73" s="10">
        <v>0.5633002072076722</v>
      </c>
      <c r="AA73" s="10">
        <v>1.8741627675443584</v>
      </c>
      <c r="AB73" s="12">
        <v>-1.2170532984512994</v>
      </c>
      <c r="AC73" s="10"/>
    </row>
    <row r="74">
      <c r="B74" s="1"/>
      <c r="C74" s="13">
        <v>0.7024054143034535</v>
      </c>
      <c r="D74" s="14">
        <v>1.157764600553636</v>
      </c>
      <c r="E74" s="14">
        <v>-0.5813737977522885</v>
      </c>
      <c r="F74" s="14">
        <v>1.066374716086232</v>
      </c>
      <c r="G74" s="15">
        <v>-0.22941327020344043</v>
      </c>
      <c r="I74" s="1"/>
      <c r="J74" s="13">
        <v>0.5016977552051195</v>
      </c>
      <c r="K74" s="14">
        <v>0.781269322632865</v>
      </c>
      <c r="L74" s="14">
        <v>-0.0036937730002819524</v>
      </c>
      <c r="M74" s="14">
        <v>1.5414486971255528</v>
      </c>
      <c r="N74" s="15">
        <v>-0.8655453878677829</v>
      </c>
      <c r="O74" s="3"/>
      <c r="P74" s="1"/>
      <c r="Q74" s="13">
        <v>0.030969266699699766</v>
      </c>
      <c r="R74" s="14">
        <v>-0.3137977351310261</v>
      </c>
      <c r="S74" s="14">
        <v>-0.867449528304241</v>
      </c>
      <c r="T74" s="14">
        <v>-1.5939772625222945</v>
      </c>
      <c r="U74" s="15">
        <v>1.3016692554019118</v>
      </c>
      <c r="V74" s="2"/>
      <c r="W74" s="1"/>
      <c r="X74" s="13">
        <v>0.4267672975130138</v>
      </c>
      <c r="Y74" s="14">
        <v>5.217003359003076</v>
      </c>
      <c r="Z74" s="14">
        <v>-0.5255391045823893</v>
      </c>
      <c r="AA74" s="14">
        <v>0.5792609018809911</v>
      </c>
      <c r="AB74" s="15">
        <v>2.767666866892094</v>
      </c>
      <c r="AC74" s="10"/>
    </row>
    <row r="75">
      <c r="O75" s="3"/>
    </row>
    <row r="76">
      <c r="O76" s="3"/>
    </row>
    <row r="77">
      <c r="O77" s="3"/>
    </row>
    <row r="78">
      <c r="O78" s="3"/>
    </row>
    <row r="79">
      <c r="O79" s="3"/>
    </row>
    <row r="80">
      <c r="O80" s="3"/>
    </row>
    <row r="81">
      <c r="A81" s="4" t="s">
        <v>18</v>
      </c>
      <c r="AA81" s="4"/>
      <c r="AB81" s="4"/>
      <c r="AC81" s="4"/>
    </row>
    <row r="8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H83" s="2"/>
      <c r="I83" s="6" t="s">
        <v>11</v>
      </c>
      <c r="J83" s="7">
        <f t="array" ref="J83:N87">Q70:U74</f>
        <v>-0.3135851332</v>
      </c>
      <c r="K83" s="8">
        <v>-0.06973635245665488</v>
      </c>
      <c r="L83" s="8">
        <v>3.5264944649937684</v>
      </c>
      <c r="M83" s="8">
        <v>3.9252452143820347</v>
      </c>
      <c r="N83" s="9">
        <v>2.1077222730939007</v>
      </c>
      <c r="O83" s="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H84" s="2"/>
      <c r="I84" s="1"/>
      <c r="J84" s="11">
        <v>-0.6772171601592967</v>
      </c>
      <c r="K84" s="10">
        <v>1.1010164592888851</v>
      </c>
      <c r="L84" s="10">
        <v>1.8095788740560756</v>
      </c>
      <c r="M84" s="10">
        <v>0.948532395262175</v>
      </c>
      <c r="N84" s="12">
        <v>1.2196705221076773</v>
      </c>
      <c r="O84" s="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H85" s="2"/>
      <c r="I85" s="1"/>
      <c r="J85" s="11">
        <v>-0.07707557642800147</v>
      </c>
      <c r="K85" s="10">
        <v>-2.8097973826441733</v>
      </c>
      <c r="L85" s="10">
        <v>1.6465565147489885</v>
      </c>
      <c r="M85" s="10">
        <v>2.0223508789709173</v>
      </c>
      <c r="N85" s="12">
        <v>-0.41059493645103445</v>
      </c>
      <c r="O85" s="3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H86" s="2"/>
      <c r="I86" s="1"/>
      <c r="J86" s="11">
        <v>-0.38555630687214715</v>
      </c>
      <c r="K86" s="10">
        <v>-0.0924011931671137</v>
      </c>
      <c r="L86" s="10">
        <v>1.0319974622434294</v>
      </c>
      <c r="M86" s="10">
        <v>0.483262738039108</v>
      </c>
      <c r="N86" s="12">
        <v>0.37688041055637433</v>
      </c>
      <c r="O86" s="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H87" s="2"/>
      <c r="I87" s="1"/>
      <c r="J87" s="13">
        <v>0.030969266699699766</v>
      </c>
      <c r="K87" s="14">
        <v>-0.3137977351310261</v>
      </c>
      <c r="L87" s="14">
        <v>-0.867449528304241</v>
      </c>
      <c r="M87" s="14">
        <v>-1.5939772625222945</v>
      </c>
      <c r="N87" s="15">
        <v>1.3016692554019118</v>
      </c>
      <c r="O87" s="3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B88" s="1"/>
      <c r="C88" s="2"/>
      <c r="D88" s="2"/>
      <c r="E88" s="2"/>
      <c r="F88" s="2"/>
      <c r="G88" s="2"/>
      <c r="H88" s="2"/>
      <c r="I88" s="2"/>
      <c r="J88" s="2"/>
      <c r="K88" s="2"/>
      <c r="L88" s="21" t="s">
        <v>4</v>
      </c>
      <c r="M88" s="2"/>
      <c r="N88" s="2"/>
      <c r="O88" s="3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B89" s="1"/>
      <c r="C89" s="2"/>
      <c r="D89" s="2"/>
      <c r="E89" s="2"/>
      <c r="F89" s="2"/>
      <c r="G89" s="2"/>
      <c r="H89" s="2"/>
      <c r="I89" s="2"/>
      <c r="J89" s="2"/>
      <c r="K89" s="2"/>
      <c r="L89" s="21" t="s">
        <v>4</v>
      </c>
      <c r="M89" s="2"/>
      <c r="N89" s="2"/>
      <c r="O89" s="3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B90" s="1"/>
      <c r="C90" s="2"/>
      <c r="D90" s="2"/>
      <c r="E90" s="2"/>
      <c r="F90" s="2"/>
      <c r="G90" s="2"/>
      <c r="H90" s="2"/>
      <c r="I90" s="6" t="s">
        <v>19</v>
      </c>
      <c r="J90" s="7">
        <f t="array" ref="J90:N94">TRANSPOSE(J83:N87)</f>
        <v>-0.3135851332</v>
      </c>
      <c r="K90" s="8">
        <v>-0.6772171601592967</v>
      </c>
      <c r="L90" s="8">
        <v>-0.07707557642800147</v>
      </c>
      <c r="M90" s="8">
        <v>-0.38555630687214715</v>
      </c>
      <c r="N90" s="9">
        <v>0.030969266699699766</v>
      </c>
      <c r="O90" s="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B91" s="1"/>
      <c r="C91" s="2"/>
      <c r="D91" s="2"/>
      <c r="E91" s="2"/>
      <c r="F91" s="2"/>
      <c r="G91" s="2"/>
      <c r="H91" s="2"/>
      <c r="I91" s="2"/>
      <c r="J91" s="11">
        <v>-0.06973635245665488</v>
      </c>
      <c r="K91" s="10">
        <v>1.1010164592888851</v>
      </c>
      <c r="L91" s="10">
        <v>-2.8097973826441733</v>
      </c>
      <c r="M91" s="10">
        <v>-0.0924011931671137</v>
      </c>
      <c r="N91" s="12">
        <v>-0.3137977351310261</v>
      </c>
      <c r="O91" s="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B92" s="1"/>
      <c r="C92" s="2"/>
      <c r="D92" s="2"/>
      <c r="E92" s="2"/>
      <c r="F92" s="2"/>
      <c r="G92" s="2"/>
      <c r="H92" s="2"/>
      <c r="I92" s="2"/>
      <c r="J92" s="11">
        <v>3.5264944649937684</v>
      </c>
      <c r="K92" s="10">
        <v>1.8095788740560756</v>
      </c>
      <c r="L92" s="10">
        <v>1.6465565147489885</v>
      </c>
      <c r="M92" s="10">
        <v>1.0319974622434294</v>
      </c>
      <c r="N92" s="12">
        <v>-0.867449528304241</v>
      </c>
      <c r="O92" s="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B93" s="1"/>
      <c r="C93" s="2"/>
      <c r="D93" s="2"/>
      <c r="E93" s="2"/>
      <c r="F93" s="2"/>
      <c r="G93" s="2"/>
      <c r="H93" s="2"/>
      <c r="I93" s="2"/>
      <c r="J93" s="11">
        <v>3.9252452143820347</v>
      </c>
      <c r="K93" s="10">
        <v>0.948532395262175</v>
      </c>
      <c r="L93" s="10">
        <v>2.0223508789709173</v>
      </c>
      <c r="M93" s="10">
        <v>0.483262738039108</v>
      </c>
      <c r="N93" s="12">
        <v>-1.5939772625222945</v>
      </c>
      <c r="O93" s="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B94" s="1"/>
      <c r="C94" s="2"/>
      <c r="D94" s="2"/>
      <c r="E94" s="2"/>
      <c r="F94" s="2"/>
      <c r="G94" s="2"/>
      <c r="H94" s="2"/>
      <c r="I94" s="2"/>
      <c r="J94" s="13">
        <v>2.1077222730939007</v>
      </c>
      <c r="K94" s="14">
        <v>1.2196705221076773</v>
      </c>
      <c r="L94" s="14">
        <v>-0.41059493645103445</v>
      </c>
      <c r="M94" s="14">
        <v>0.37688041055637433</v>
      </c>
      <c r="N94" s="15">
        <v>1.3016692554019118</v>
      </c>
      <c r="O94" s="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B95" s="1"/>
      <c r="C95" s="2"/>
      <c r="D95" s="2"/>
      <c r="E95" s="2"/>
      <c r="F95" s="2"/>
      <c r="G95" s="2"/>
      <c r="H95" s="2"/>
      <c r="I95" s="2"/>
      <c r="J95" s="2"/>
      <c r="K95" s="2"/>
      <c r="L95" s="21" t="s">
        <v>4</v>
      </c>
      <c r="M95" s="2"/>
      <c r="N95" s="2"/>
      <c r="O95" s="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1" t="s">
        <v>4</v>
      </c>
      <c r="M96" s="2"/>
      <c r="N96" s="2"/>
      <c r="O96" s="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B97" s="6" t="s">
        <v>6</v>
      </c>
      <c r="C97" s="7">
        <f t="array" ref="C97:G101">J70:N74</f>
        <v>0.1748198395</v>
      </c>
      <c r="D97" s="8">
        <v>1.7999124360649905</v>
      </c>
      <c r="E97" s="8">
        <v>4.132405963562511</v>
      </c>
      <c r="F97" s="8">
        <v>6.275231764090648</v>
      </c>
      <c r="G97" s="9">
        <v>2.1555980110234176</v>
      </c>
      <c r="H97" s="2"/>
      <c r="I97" s="6" t="s">
        <v>20</v>
      </c>
      <c r="J97" s="7">
        <f t="array" ref="J97:N101">MMULT(J90:N94,C97:G101)</f>
        <v>-0.02972382645</v>
      </c>
      <c r="K97" s="8">
        <v>0.19917742099437447</v>
      </c>
      <c r="L97" s="8">
        <v>0.7754114716060793</v>
      </c>
      <c r="M97" s="8">
        <v>1.1291908684071505</v>
      </c>
      <c r="N97" s="9">
        <v>0.12943569705502136</v>
      </c>
      <c r="O97" s="3"/>
      <c r="P97" s="2"/>
      <c r="Q97" s="2"/>
      <c r="W97" s="2"/>
      <c r="X97" s="2"/>
      <c r="Y97" s="2"/>
      <c r="Z97" s="2"/>
      <c r="AA97" s="2"/>
      <c r="AB97" s="2"/>
      <c r="AC97" s="2"/>
    </row>
    <row r="98">
      <c r="B98" s="1"/>
      <c r="C98" s="11">
        <v>0.1913621418054802</v>
      </c>
      <c r="D98" s="10">
        <v>-0.5304210601237261</v>
      </c>
      <c r="E98" s="10">
        <v>-2.994568415056732</v>
      </c>
      <c r="F98" s="10">
        <v>-4.224896585034857</v>
      </c>
      <c r="G98" s="12">
        <v>0.7523593192058667</v>
      </c>
      <c r="H98" s="2"/>
      <c r="I98" s="2"/>
      <c r="J98" s="11">
        <v>-1.6017334092540196</v>
      </c>
      <c r="K98" s="10">
        <v>-3.1827987611054875</v>
      </c>
      <c r="L98" s="10">
        <v>7.635028781216036</v>
      </c>
      <c r="M98" s="10">
        <v>4.411560358134475</v>
      </c>
      <c r="N98" s="12">
        <v>10.609980025558722</v>
      </c>
      <c r="O98" s="3"/>
      <c r="P98" s="2"/>
      <c r="Q98" s="2"/>
      <c r="W98" s="2"/>
      <c r="X98" s="2"/>
      <c r="Y98" s="2"/>
      <c r="Z98" s="2"/>
      <c r="AA98" s="2"/>
      <c r="AB98" s="2"/>
      <c r="AC98" s="2"/>
    </row>
    <row r="99">
      <c r="B99" s="1"/>
      <c r="C99" s="11">
        <v>0.6004861658759333</v>
      </c>
      <c r="D99" s="10">
        <v>0.8308716973172071</v>
      </c>
      <c r="E99" s="10">
        <v>-4.015551934140899</v>
      </c>
      <c r="F99" s="10">
        <v>-3.560844378952919</v>
      </c>
      <c r="G99" s="12">
        <v>-3.345645490584236</v>
      </c>
      <c r="H99" s="19" t="s">
        <v>8</v>
      </c>
      <c r="I99" s="17" t="s">
        <v>8</v>
      </c>
      <c r="J99" s="11">
        <v>1.0199755292864556</v>
      </c>
      <c r="K99" s="10">
        <v>4.888841705850243</v>
      </c>
      <c r="L99" s="10">
        <v>3.257590912995256</v>
      </c>
      <c r="M99" s="10">
        <v>7.515164723575755</v>
      </c>
      <c r="N99" s="12">
        <v>1.3041050558379066</v>
      </c>
      <c r="O99" s="3"/>
      <c r="P99" s="2"/>
      <c r="Q99" s="2"/>
      <c r="W99" s="2"/>
      <c r="X99" s="2"/>
      <c r="Y99" s="2"/>
      <c r="Z99" s="2"/>
      <c r="AA99" s="2"/>
      <c r="AB99" s="2"/>
      <c r="AC99" s="2"/>
    </row>
    <row r="100">
      <c r="B100" s="1"/>
      <c r="C100" s="11">
        <v>-0.480958046658329</v>
      </c>
      <c r="D100" s="10">
        <v>-1.1521988540639825</v>
      </c>
      <c r="E100" s="10">
        <v>0.6901382591238492</v>
      </c>
      <c r="F100" s="10">
        <v>0.22397216094336625</v>
      </c>
      <c r="G100" s="12">
        <v>-2.811126572041279</v>
      </c>
      <c r="H100" s="2"/>
      <c r="I100" s="2"/>
      <c r="J100" s="11">
        <v>1.0499937375922377</v>
      </c>
      <c r="K100" s="10">
        <v>6.440149915532201</v>
      </c>
      <c r="L100" s="10">
        <v>5.598812492189199</v>
      </c>
      <c r="M100" s="10">
        <v>11.074298639122048</v>
      </c>
      <c r="N100" s="12">
        <v>2.429965809200274</v>
      </c>
      <c r="O100" s="3"/>
      <c r="P100" s="2"/>
      <c r="Q100" s="2"/>
      <c r="W100" s="2"/>
      <c r="X100" s="2"/>
      <c r="Y100" s="2"/>
      <c r="Z100" s="2"/>
      <c r="AA100" s="2"/>
      <c r="AB100" s="2"/>
      <c r="AC100" s="2"/>
    </row>
    <row r="101">
      <c r="B101" s="1"/>
      <c r="C101" s="13">
        <v>0.5016977552051195</v>
      </c>
      <c r="D101" s="14">
        <v>0.781269322632865</v>
      </c>
      <c r="E101" s="14">
        <v>-0.0036937730002819524</v>
      </c>
      <c r="F101" s="14">
        <v>1.5414486971255528</v>
      </c>
      <c r="G101" s="15">
        <v>-0.8655453878677829</v>
      </c>
      <c r="H101" s="2"/>
      <c r="I101" s="2"/>
      <c r="J101" s="13">
        <v>0.8270947311970671</v>
      </c>
      <c r="K101" s="14">
        <v>3.388337968313606</v>
      </c>
      <c r="L101" s="14">
        <v>6.961634079490129</v>
      </c>
      <c r="M101" s="14">
        <v>11.62639570356518</v>
      </c>
      <c r="N101" s="15">
        <v>4.648625163794222</v>
      </c>
      <c r="O101" s="3"/>
      <c r="P101" s="2"/>
      <c r="Q101" s="2"/>
      <c r="W101" s="2"/>
      <c r="X101" s="2"/>
      <c r="Y101" s="2"/>
      <c r="Z101" s="2"/>
      <c r="AA101" s="2"/>
      <c r="AB101" s="2"/>
      <c r="AC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1" t="s">
        <v>4</v>
      </c>
      <c r="M102" s="2"/>
      <c r="N102" s="2"/>
      <c r="O102" s="3"/>
      <c r="P102" s="2"/>
      <c r="Q102" s="2"/>
      <c r="W102" s="2"/>
      <c r="X102" s="2"/>
      <c r="Y102" s="2"/>
      <c r="Z102" s="2"/>
      <c r="AA102" s="2"/>
      <c r="AB102" s="2"/>
      <c r="AC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1" t="s">
        <v>4</v>
      </c>
      <c r="M103" s="2"/>
      <c r="N103" s="2"/>
      <c r="O103" s="3"/>
      <c r="P103" s="2"/>
      <c r="Q103" s="2"/>
      <c r="W103" s="2"/>
      <c r="X103" s="2"/>
      <c r="Y103" s="2"/>
      <c r="Z103" s="2"/>
      <c r="AA103" s="2"/>
      <c r="AB103" s="2"/>
      <c r="AC103" s="2"/>
    </row>
    <row r="104">
      <c r="B104" s="1"/>
      <c r="C104" s="2"/>
      <c r="D104" s="6" t="s">
        <v>21</v>
      </c>
      <c r="E104" s="30">
        <f>power(5, 0.5)</f>
        <v>2.236067977</v>
      </c>
      <c r="F104" s="2"/>
      <c r="G104" s="2"/>
      <c r="H104" s="2"/>
      <c r="I104" s="6" t="s">
        <v>22</v>
      </c>
      <c r="J104" s="7">
        <f t="shared" ref="J104:N104" si="21">J97/$G$107</f>
        <v>-0.0132928993</v>
      </c>
      <c r="K104" s="8">
        <f t="shared" si="21"/>
        <v>0.08907485059</v>
      </c>
      <c r="L104" s="8">
        <f t="shared" si="21"/>
        <v>0.3467745522</v>
      </c>
      <c r="M104" s="8">
        <f t="shared" si="21"/>
        <v>0.5049895083</v>
      </c>
      <c r="N104" s="9">
        <f t="shared" si="21"/>
        <v>0.05788540347</v>
      </c>
      <c r="O104" s="3"/>
      <c r="P104" s="32" t="str">
        <f>IFERROR(__xludf.DUMMYFUNCTION("SPARKLINE((J104-MIN($J104:$N104))/SUMPRODUCT($J104:$N104-MIN($J104:$N104)), {""charttype"",""bar""; ""max"",1; ""color1"",""#4285F4""})"),"")</f>
        <v/>
      </c>
      <c r="Q104" s="32" t="str">
        <f>IFERROR(__xludf.DUMMYFUNCTION("SPARKLINE((K104-MIN($J104:$N104))/SUMPRODUCT($J104:$N104-MIN($J104:$N104)), {""charttype"",""bar""; ""max"",1; ""color1"",""#4285F4""})"),"")</f>
        <v/>
      </c>
      <c r="R104" s="32" t="str">
        <f>IFERROR(__xludf.DUMMYFUNCTION("SPARKLINE((L104-MIN($J104:$N104))/SUMPRODUCT($J104:$N104-MIN($J104:$N104)), {""charttype"",""bar""; ""max"",1; ""color1"",""#4285F4""})"),"")</f>
        <v/>
      </c>
      <c r="S104" s="32" t="str">
        <f>IFERROR(__xludf.DUMMYFUNCTION("SPARKLINE((M104-MIN($J104:$N104))/SUMPRODUCT($J104:$N104-MIN($J104:$N104)), {""charttype"",""bar""; ""max"",1; ""color1"",""#4285F4""})"),"")</f>
        <v/>
      </c>
      <c r="T104" s="32" t="str">
        <f>IFERROR(__xludf.DUMMYFUNCTION("SPARKLINE((N104-MIN($J104:$N104))/SUMPRODUCT($J104:$N104-MIN($J104:$N104)), {""charttype"",""bar""; ""max"",1; ""color1"",""#4285F4""})"),"")</f>
        <v/>
      </c>
      <c r="W104" s="2"/>
      <c r="X104" s="2"/>
      <c r="Y104" s="2"/>
      <c r="Z104" s="2"/>
      <c r="AA104" s="2"/>
      <c r="AB104" s="2"/>
      <c r="AC104" s="2"/>
    </row>
    <row r="105">
      <c r="B105" s="1"/>
      <c r="C105" s="2"/>
      <c r="D105" s="2"/>
      <c r="E105" s="2"/>
      <c r="F105" s="2"/>
      <c r="G105" s="2"/>
      <c r="H105" s="2"/>
      <c r="I105" s="6"/>
      <c r="J105" s="11">
        <f t="shared" ref="J105:N105" si="22">J98/$G$107</f>
        <v>-0.716316957</v>
      </c>
      <c r="K105" s="10">
        <f t="shared" si="22"/>
        <v>-1.423390878</v>
      </c>
      <c r="L105" s="10">
        <f t="shared" si="22"/>
        <v>3.414488673</v>
      </c>
      <c r="M105" s="10">
        <f t="shared" si="22"/>
        <v>1.97290977</v>
      </c>
      <c r="N105" s="12">
        <f t="shared" si="22"/>
        <v>4.744927315</v>
      </c>
      <c r="O105" s="3"/>
      <c r="P105" s="32" t="str">
        <f>IFERROR(__xludf.DUMMYFUNCTION("SPARKLINE((J105-MIN($J105:$N105))/SUMPRODUCT($J105:$N105-MIN($J105:$N105)), {""charttype"",""bar""; ""max"",1; ""color1"",""#4285F4""})"),"")</f>
        <v/>
      </c>
      <c r="Q105" s="32" t="str">
        <f>IFERROR(__xludf.DUMMYFUNCTION("SPARKLINE((K105-MIN($J105:$N105))/SUMPRODUCT($J105:$N105-MIN($J105:$N105)), {""charttype"",""bar""; ""max"",1; ""color1"",""#4285F4""})"),"")</f>
        <v/>
      </c>
      <c r="R105" s="32" t="str">
        <f>IFERROR(__xludf.DUMMYFUNCTION("SPARKLINE((L105-MIN($J105:$N105))/SUMPRODUCT($J105:$N105-MIN($J105:$N105)), {""charttype"",""bar""; ""max"",1; ""color1"",""#4285F4""})"),"")</f>
        <v/>
      </c>
      <c r="S105" s="32" t="str">
        <f>IFERROR(__xludf.DUMMYFUNCTION("SPARKLINE((M105-MIN($J105:$N105))/SUMPRODUCT($J105:$N105-MIN($J105:$N105)), {""charttype"",""bar""; ""max"",1; ""color1"",""#4285F4""})"),"")</f>
        <v/>
      </c>
      <c r="T105" s="32" t="str">
        <f>IFERROR(__xludf.DUMMYFUNCTION("SPARKLINE((N105-MIN($J105:$N105))/SUMPRODUCT($J105:$N105-MIN($J105:$N105)), {""charttype"",""bar""; ""max"",1; ""color1"",""#4285F4""})"),"")</f>
        <v/>
      </c>
      <c r="W105" s="2"/>
      <c r="X105" s="2"/>
      <c r="Y105" s="2"/>
      <c r="Z105" s="2"/>
      <c r="AA105" s="2"/>
      <c r="AB105" s="2"/>
      <c r="AC105" s="2"/>
    </row>
    <row r="106">
      <c r="B106" s="1"/>
      <c r="C106" s="2"/>
      <c r="D106" s="2"/>
      <c r="E106" s="2"/>
      <c r="F106" s="6"/>
      <c r="G106" s="30"/>
      <c r="H106" s="2"/>
      <c r="I106" s="2"/>
      <c r="J106" s="11">
        <f t="shared" ref="J106:N106" si="23">J99/$G$107</f>
        <v>0.4561469238</v>
      </c>
      <c r="K106" s="10">
        <f t="shared" si="23"/>
        <v>2.186356477</v>
      </c>
      <c r="L106" s="10">
        <f t="shared" si="23"/>
        <v>1.456838945</v>
      </c>
      <c r="M106" s="10">
        <f t="shared" si="23"/>
        <v>3.360883837</v>
      </c>
      <c r="N106" s="12">
        <f t="shared" si="23"/>
        <v>0.5832135109</v>
      </c>
      <c r="O106" s="3"/>
      <c r="P106" s="32" t="str">
        <f>IFERROR(__xludf.DUMMYFUNCTION("SPARKLINE((J106-MIN($J106:$N106))/SUMPRODUCT($J106:$N106-MIN($J106:$N106)), {""charttype"",""bar""; ""max"",1; ""color1"",""#4285F4""})"),"")</f>
        <v/>
      </c>
      <c r="Q106" s="32" t="str">
        <f>IFERROR(__xludf.DUMMYFUNCTION("SPARKLINE((K106-MIN($J106:$N106))/SUMPRODUCT($J106:$N106-MIN($J106:$N106)), {""charttype"",""bar""; ""max"",1; ""color1"",""#4285F4""})"),"")</f>
        <v/>
      </c>
      <c r="R106" s="32" t="str">
        <f>IFERROR(__xludf.DUMMYFUNCTION("SPARKLINE((L106-MIN($J106:$N106))/SUMPRODUCT($J106:$N106-MIN($J106:$N106)), {""charttype"",""bar""; ""max"",1; ""color1"",""#4285F4""})"),"")</f>
        <v/>
      </c>
      <c r="S106" s="32" t="str">
        <f>IFERROR(__xludf.DUMMYFUNCTION("SPARKLINE((M106-MIN($J106:$N106))/SUMPRODUCT($J106:$N106-MIN($J106:$N106)), {""charttype"",""bar""; ""max"",1; ""color1"",""#4285F4""})"),"")</f>
        <v/>
      </c>
      <c r="T106" s="32" t="str">
        <f>IFERROR(__xludf.DUMMYFUNCTION("SPARKLINE((N106-MIN($J106:$N106))/SUMPRODUCT($J106:$N106-MIN($J106:$N106)), {""charttype"",""bar""; ""max"",1; ""color1"",""#4285F4""})"),"")</f>
        <v/>
      </c>
      <c r="W106" s="2"/>
      <c r="X106" s="2"/>
      <c r="Y106" s="2"/>
      <c r="Z106" s="2"/>
      <c r="AA106" s="2"/>
      <c r="AB106" s="2"/>
      <c r="AC106" s="2"/>
    </row>
    <row r="107">
      <c r="B107" s="1"/>
      <c r="C107" s="2"/>
      <c r="D107" s="2"/>
      <c r="E107" s="2"/>
      <c r="F107" s="6" t="s">
        <v>21</v>
      </c>
      <c r="G107" s="33">
        <f>power(5, 0.5)</f>
        <v>2.236067977</v>
      </c>
      <c r="H107" s="17" t="s">
        <v>8</v>
      </c>
      <c r="I107" s="17" t="s">
        <v>8</v>
      </c>
      <c r="J107" s="11">
        <f t="shared" ref="J107:N107" si="24">J100/$G$107</f>
        <v>0.4695714746</v>
      </c>
      <c r="K107" s="10">
        <f t="shared" si="24"/>
        <v>2.880122599</v>
      </c>
      <c r="L107" s="10">
        <f t="shared" si="24"/>
        <v>2.503865065</v>
      </c>
      <c r="M107" s="10">
        <f t="shared" si="24"/>
        <v>4.952576912</v>
      </c>
      <c r="N107" s="12">
        <f t="shared" si="24"/>
        <v>1.086713746</v>
      </c>
      <c r="O107" s="3"/>
      <c r="P107" s="32" t="str">
        <f>IFERROR(__xludf.DUMMYFUNCTION("SPARKLINE((J107-MIN($J107:$N107))/SUMPRODUCT($J107:$N107-MIN($J107:$N107)), {""charttype"",""bar""; ""max"",1; ""color1"",""#4285F4""})"),"")</f>
        <v/>
      </c>
      <c r="Q107" s="32" t="str">
        <f>IFERROR(__xludf.DUMMYFUNCTION("SPARKLINE((K107-MIN($J107:$N107))/SUMPRODUCT($J107:$N107-MIN($J107:$N107)), {""charttype"",""bar""; ""max"",1; ""color1"",""#4285F4""})"),"")</f>
        <v/>
      </c>
      <c r="R107" s="32" t="str">
        <f>IFERROR(__xludf.DUMMYFUNCTION("SPARKLINE((L107-MIN($J107:$N107))/SUMPRODUCT($J107:$N107-MIN($J107:$N107)), {""charttype"",""bar""; ""max"",1; ""color1"",""#4285F4""})"),"")</f>
        <v/>
      </c>
      <c r="S107" s="32" t="str">
        <f>IFERROR(__xludf.DUMMYFUNCTION("SPARKLINE((M107-MIN($J107:$N107))/SUMPRODUCT($J107:$N107-MIN($J107:$N107)), {""charttype"",""bar""; ""max"",1; ""color1"",""#4285F4""})"),"")</f>
        <v/>
      </c>
      <c r="T107" s="32" t="str">
        <f>IFERROR(__xludf.DUMMYFUNCTION("SPARKLINE((N107-MIN($J107:$N107))/SUMPRODUCT($J107:$N107-MIN($J107:$N107)), {""charttype"",""bar""; ""max"",1; ""color1"",""#4285F4""})"),"")</f>
        <v/>
      </c>
      <c r="W107" s="2"/>
      <c r="X107" s="2"/>
      <c r="Y107" s="2"/>
      <c r="Z107" s="2"/>
      <c r="AA107" s="2"/>
      <c r="AB107" s="2"/>
      <c r="AC107" s="2"/>
    </row>
    <row r="108">
      <c r="B108" s="1"/>
      <c r="C108" s="2"/>
      <c r="D108" s="2"/>
      <c r="E108" s="2"/>
      <c r="F108" s="2"/>
      <c r="G108" s="2"/>
      <c r="H108" s="2"/>
      <c r="I108" s="2"/>
      <c r="J108" s="13">
        <f t="shared" ref="J108:N108" si="25">J101/$G$107</f>
        <v>0.3698880086</v>
      </c>
      <c r="K108" s="14">
        <f t="shared" si="25"/>
        <v>1.515310806</v>
      </c>
      <c r="L108" s="14">
        <f t="shared" si="25"/>
        <v>3.113337407</v>
      </c>
      <c r="M108" s="14">
        <f t="shared" si="25"/>
        <v>5.199482225</v>
      </c>
      <c r="N108" s="15">
        <f t="shared" si="25"/>
        <v>2.078928374</v>
      </c>
      <c r="O108" s="3"/>
      <c r="P108" s="32" t="str">
        <f>IFERROR(__xludf.DUMMYFUNCTION("SPARKLINE((J108-MIN($J108:$N108))/SUMPRODUCT($J108:$N108-MIN($J108:$N108)), {""charttype"",""bar""; ""max"",1; ""color1"",""#4285F4""})"),"")</f>
        <v/>
      </c>
      <c r="Q108" s="32" t="str">
        <f>IFERROR(__xludf.DUMMYFUNCTION("SPARKLINE((K108-MIN($J108:$N108))/SUMPRODUCT($J108:$N108-MIN($J108:$N108)), {""charttype"",""bar""; ""max"",1; ""color1"",""#4285F4""})"),"")</f>
        <v/>
      </c>
      <c r="R108" s="32" t="str">
        <f>IFERROR(__xludf.DUMMYFUNCTION("SPARKLINE((L108-MIN($J108:$N108))/SUMPRODUCT($J108:$N108-MIN($J108:$N108)), {""charttype"",""bar""; ""max"",1; ""color1"",""#4285F4""})"),"")</f>
        <v/>
      </c>
      <c r="S108" s="32" t="str">
        <f>IFERROR(__xludf.DUMMYFUNCTION("SPARKLINE((M108-MIN($J108:$N108))/SUMPRODUCT($J108:$N108-MIN($J108:$N108)), {""charttype"",""bar""; ""max"",1; ""color1"",""#4285F4""})"),"")</f>
        <v/>
      </c>
      <c r="T108" s="32" t="str">
        <f>IFERROR(__xludf.DUMMYFUNCTION("SPARKLINE((N108-MIN($J108:$N108))/SUMPRODUCT($J108:$N108-MIN($J108:$N108)), {""charttype"",""bar""; ""max"",1; ""color1"",""#4285F4""})"),"")</f>
        <v/>
      </c>
      <c r="W108" s="2"/>
      <c r="X108" s="2"/>
      <c r="Y108" s="2"/>
      <c r="Z108" s="2"/>
      <c r="AA108" s="2"/>
      <c r="AB108" s="2"/>
      <c r="AC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1" t="s">
        <v>4</v>
      </c>
      <c r="M109" s="2"/>
      <c r="N109" s="2"/>
      <c r="O109" s="3"/>
      <c r="W109" s="2"/>
      <c r="X109" s="2"/>
      <c r="Y109" s="2"/>
      <c r="Z109" s="2"/>
      <c r="AA109" s="2"/>
      <c r="AB109" s="2"/>
      <c r="AC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1" t="s">
        <v>4</v>
      </c>
      <c r="M110" s="2"/>
      <c r="N110" s="2"/>
      <c r="O110" s="3"/>
      <c r="W110" s="2"/>
      <c r="X110" s="2"/>
      <c r="Y110" s="2"/>
      <c r="Z110" s="2"/>
      <c r="AA110" s="2"/>
      <c r="AB110" s="2"/>
      <c r="AC110" s="2"/>
    </row>
    <row r="111">
      <c r="B111" s="1"/>
      <c r="C111" s="2"/>
      <c r="D111" s="2"/>
      <c r="E111" s="2"/>
      <c r="F111" s="2"/>
      <c r="G111" s="2"/>
      <c r="H111" s="2"/>
      <c r="I111" s="34" t="s">
        <v>24</v>
      </c>
      <c r="J111" s="46">
        <f t="shared" ref="J111:N111" si="26">EXP(J104)/SUMPRODUCT(EXP($J104:$N104))
</f>
        <v>0.1588781767</v>
      </c>
      <c r="K111" s="36">
        <f t="shared" si="26"/>
        <v>0.1760037803</v>
      </c>
      <c r="L111" s="36">
        <f t="shared" si="26"/>
        <v>0.2277401248</v>
      </c>
      <c r="M111" s="36">
        <f t="shared" si="26"/>
        <v>0.266778875</v>
      </c>
      <c r="N111" s="37">
        <f t="shared" si="26"/>
        <v>0.1705990432</v>
      </c>
      <c r="O111" s="3"/>
      <c r="P111" s="32" t="str">
        <f>IFERROR(__xludf.DUMMYFUNCTION("SPARKLINE((J111-MIN($J111:$N111))/SUMPRODUCT($J111:$N111-MIN($J111:$N111)), {""charttype"",""bar""; ""max"",1; ""color1"",""#4285F4""})"),"")</f>
        <v/>
      </c>
      <c r="Q111" s="32" t="str">
        <f>IFERROR(__xludf.DUMMYFUNCTION("SPARKLINE((K111-MIN($J111:$N111))/SUMPRODUCT($J111:$N111-MIN($J111:$N111)), {""charttype"",""bar""; ""max"",1; ""color1"",""#4285F4""})"),"")</f>
        <v/>
      </c>
      <c r="R111" s="32" t="str">
        <f>IFERROR(__xludf.DUMMYFUNCTION("SPARKLINE((L111-MIN($J111:$N111))/SUMPRODUCT($J111:$N111-MIN($J111:$N111)), {""charttype"",""bar""; ""max"",1; ""color1"",""#4285F4""})"),"")</f>
        <v/>
      </c>
      <c r="S111" s="32" t="str">
        <f>IFERROR(__xludf.DUMMYFUNCTION("SPARKLINE((M111-MIN($J111:$N111))/SUMPRODUCT($J111:$N111-MIN($J111:$N111)), {""charttype"",""bar""; ""max"",1; ""color1"",""#4285F4""})"),"")</f>
        <v/>
      </c>
      <c r="T111" s="32" t="str">
        <f>IFERROR(__xludf.DUMMYFUNCTION("SPARKLINE((N111-MIN($J111:$N111))/SUMPRODUCT($J111:$N111-MIN($J111:$N111)), {""charttype"",""bar""; ""max"",1; ""color1"",""#4285F4""})"),"")</f>
        <v/>
      </c>
      <c r="W111" s="2"/>
      <c r="X111" s="2"/>
      <c r="Y111" s="2"/>
      <c r="Z111" s="2"/>
      <c r="AA111" s="2"/>
      <c r="AB111" s="2"/>
      <c r="AC111" s="2"/>
    </row>
    <row r="112">
      <c r="B112" s="1"/>
      <c r="C112" s="2"/>
      <c r="D112" s="2"/>
      <c r="E112" s="2"/>
      <c r="F112" s="2"/>
      <c r="G112" s="2"/>
      <c r="H112" s="2"/>
      <c r="I112" s="34" t="s">
        <v>26</v>
      </c>
      <c r="J112" s="38">
        <f t="shared" ref="J112:N112" si="27">EXP(J105)/SUMPRODUCT(EXP($J105:$N105))
</f>
        <v>0.003186422874</v>
      </c>
      <c r="K112" s="39">
        <f t="shared" si="27"/>
        <v>0.001571176985</v>
      </c>
      <c r="L112" s="39">
        <f t="shared" si="27"/>
        <v>0.1982848357</v>
      </c>
      <c r="M112" s="39">
        <f t="shared" si="27"/>
        <v>0.04690506465</v>
      </c>
      <c r="N112" s="40">
        <f t="shared" si="27"/>
        <v>0.7500524997</v>
      </c>
      <c r="O112" s="3"/>
      <c r="P112" s="32" t="str">
        <f>IFERROR(__xludf.DUMMYFUNCTION("SPARKLINE((J112-MIN($J112:$N112))/SUMPRODUCT($J112:$N112-MIN($J112:$N112)), {""charttype"",""bar""; ""max"",1; ""color1"",""#4285F4""})"),"")</f>
        <v/>
      </c>
      <c r="Q112" s="32" t="str">
        <f>IFERROR(__xludf.DUMMYFUNCTION("SPARKLINE((K112-MIN($J112:$N112))/SUMPRODUCT($J112:$N112-MIN($J112:$N112)), {""charttype"",""bar""; ""max"",1; ""color1"",""#4285F4""})"),"")</f>
        <v/>
      </c>
      <c r="R112" s="32" t="str">
        <f>IFERROR(__xludf.DUMMYFUNCTION("SPARKLINE((L112-MIN($J112:$N112))/SUMPRODUCT($J112:$N112-MIN($J112:$N112)), {""charttype"",""bar""; ""max"",1; ""color1"",""#4285F4""})"),"")</f>
        <v/>
      </c>
      <c r="S112" s="32" t="str">
        <f>IFERROR(__xludf.DUMMYFUNCTION("SPARKLINE((M112-MIN($J112:$N112))/SUMPRODUCT($J112:$N112-MIN($J112:$N112)), {""charttype"",""bar""; ""max"",1; ""color1"",""#4285F4""})"),"")</f>
        <v/>
      </c>
      <c r="T112" s="32" t="str">
        <f>IFERROR(__xludf.DUMMYFUNCTION("SPARKLINE((N112-MIN($J112:$N112))/SUMPRODUCT($J112:$N112-MIN($J112:$N112)), {""charttype"",""bar""; ""max"",1; ""color1"",""#4285F4""})"),"")</f>
        <v/>
      </c>
      <c r="W112" s="2"/>
      <c r="X112" s="2"/>
      <c r="Y112" s="2"/>
      <c r="Z112" s="2"/>
      <c r="AA112" s="2"/>
      <c r="AB112" s="2"/>
      <c r="AC112" s="2"/>
    </row>
    <row r="113">
      <c r="B113" s="1"/>
      <c r="C113" s="2"/>
      <c r="D113" s="2"/>
      <c r="E113" s="2"/>
      <c r="F113" s="2"/>
      <c r="G113" s="2"/>
      <c r="H113" s="2"/>
      <c r="I113" s="41"/>
      <c r="J113" s="38">
        <f t="shared" ref="J113:N113" si="28">EXP(J106)/SUMPRODUCT(EXP($J106:$N106))
</f>
        <v>0.03477301594</v>
      </c>
      <c r="K113" s="39">
        <f t="shared" si="28"/>
        <v>0.1961836549</v>
      </c>
      <c r="L113" s="39">
        <f t="shared" si="28"/>
        <v>0.0945882918</v>
      </c>
      <c r="M113" s="39">
        <f t="shared" si="28"/>
        <v>0.6349705342</v>
      </c>
      <c r="N113" s="40">
        <f t="shared" si="28"/>
        <v>0.03948450313</v>
      </c>
      <c r="O113" s="3"/>
      <c r="P113" s="32" t="str">
        <f>IFERROR(__xludf.DUMMYFUNCTION("SPARKLINE((J113-MIN($J113:$N113))/SUMPRODUCT($J113:$N113-MIN($J113:$N113)), {""charttype"",""bar""; ""max"",1; ""color1"",""#4285F4""})"),"")</f>
        <v/>
      </c>
      <c r="Q113" s="32" t="str">
        <f>IFERROR(__xludf.DUMMYFUNCTION("SPARKLINE((K113-MIN($J113:$N113))/SUMPRODUCT($J113:$N113-MIN($J113:$N113)), {""charttype"",""bar""; ""max"",1; ""color1"",""#4285F4""})"),"")</f>
        <v/>
      </c>
      <c r="R113" s="32" t="str">
        <f>IFERROR(__xludf.DUMMYFUNCTION("SPARKLINE((L113-MIN($J113:$N113))/SUMPRODUCT($J113:$N113-MIN($J113:$N113)), {""charttype"",""bar""; ""max"",1; ""color1"",""#4285F4""})"),"")</f>
        <v/>
      </c>
      <c r="S113" s="32" t="str">
        <f>IFERROR(__xludf.DUMMYFUNCTION("SPARKLINE((M113-MIN($J113:$N113))/SUMPRODUCT($J113:$N113-MIN($J113:$N113)), {""charttype"",""bar""; ""max"",1; ""color1"",""#4285F4""})"),"")</f>
        <v/>
      </c>
      <c r="T113" s="32" t="str">
        <f>IFERROR(__xludf.DUMMYFUNCTION("SPARKLINE((N113-MIN($J113:$N113))/SUMPRODUCT($J113:$N113-MIN($J113:$N113)), {""charttype"",""bar""; ""max"",1; ""color1"",""#4285F4""})"),"")</f>
        <v/>
      </c>
      <c r="W113" s="2"/>
      <c r="X113" s="2"/>
      <c r="Y113" s="2"/>
      <c r="Z113" s="2"/>
      <c r="AA113" s="2"/>
      <c r="AB113" s="2"/>
      <c r="AC113" s="2"/>
    </row>
    <row r="114">
      <c r="B114" s="1"/>
      <c r="C114" s="2"/>
      <c r="D114" s="2"/>
      <c r="E114" s="2"/>
      <c r="F114" s="2"/>
      <c r="G114" s="2"/>
      <c r="H114" s="2"/>
      <c r="I114" s="42"/>
      <c r="J114" s="38">
        <f t="shared" ref="J114:N114" si="29">EXP(J107)/SUMPRODUCT(EXP($J107:$N107))
</f>
        <v>0.00907928545</v>
      </c>
      <c r="K114" s="39">
        <f t="shared" si="29"/>
        <v>0.1011441391</v>
      </c>
      <c r="L114" s="39">
        <f t="shared" si="29"/>
        <v>0.06942791951</v>
      </c>
      <c r="M114" s="39">
        <f t="shared" si="29"/>
        <v>0.8035190808</v>
      </c>
      <c r="N114" s="40">
        <f t="shared" si="29"/>
        <v>0.01682957519</v>
      </c>
      <c r="O114" s="3"/>
      <c r="P114" s="32" t="str">
        <f>IFERROR(__xludf.DUMMYFUNCTION("SPARKLINE((J114-MIN($J114:$N114))/SUMPRODUCT($J114:$N114-MIN($J114:$N114)), {""charttype"",""bar""; ""max"",1; ""color1"",""#4285F4""})"),"")</f>
        <v/>
      </c>
      <c r="Q114" s="32" t="str">
        <f>IFERROR(__xludf.DUMMYFUNCTION("SPARKLINE((K114-MIN($J114:$N114))/SUMPRODUCT($J114:$N114-MIN($J114:$N114)), {""charttype"",""bar""; ""max"",1; ""color1"",""#4285F4""})"),"")</f>
        <v/>
      </c>
      <c r="R114" s="32" t="str">
        <f>IFERROR(__xludf.DUMMYFUNCTION("SPARKLINE((L114-MIN($J114:$N114))/SUMPRODUCT($J114:$N114-MIN($J114:$N114)), {""charttype"",""bar""; ""max"",1; ""color1"",""#4285F4""})"),"")</f>
        <v/>
      </c>
      <c r="S114" s="32" t="str">
        <f>IFERROR(__xludf.DUMMYFUNCTION("SPARKLINE((M114-MIN($J114:$N114))/SUMPRODUCT($J114:$N114-MIN($J114:$N114)), {""charttype"",""bar""; ""max"",1; ""color1"",""#4285F4""})"),"")</f>
        <v/>
      </c>
      <c r="T114" s="32" t="str">
        <f>IFERROR(__xludf.DUMMYFUNCTION("SPARKLINE((N114-MIN($J114:$N114))/SUMPRODUCT($J114:$N114-MIN($J114:$N114)), {""charttype"",""bar""; ""max"",1; ""color1"",""#4285F4""})"),"")</f>
        <v/>
      </c>
      <c r="W114" s="2"/>
      <c r="X114" s="2"/>
      <c r="Y114" s="2"/>
      <c r="Z114" s="2"/>
      <c r="AA114" s="2"/>
      <c r="AB114" s="2"/>
      <c r="AC114" s="2"/>
    </row>
    <row r="115">
      <c r="B115" s="1"/>
      <c r="C115" s="2"/>
      <c r="D115" s="2"/>
      <c r="E115" s="2"/>
      <c r="F115" s="2"/>
      <c r="G115" s="2"/>
      <c r="H115" s="2"/>
      <c r="I115" s="41"/>
      <c r="J115" s="43">
        <f t="shared" ref="J115:N115" si="30">EXP(J108)/SUMPRODUCT(EXP($J108:$N108))
</f>
        <v>0.006650347199</v>
      </c>
      <c r="K115" s="44">
        <f t="shared" si="30"/>
        <v>0.0209071637</v>
      </c>
      <c r="L115" s="44">
        <f t="shared" si="30"/>
        <v>0.1033497082</v>
      </c>
      <c r="M115" s="44">
        <f t="shared" si="30"/>
        <v>0.8323585358</v>
      </c>
      <c r="N115" s="45">
        <f t="shared" si="30"/>
        <v>0.03673424509</v>
      </c>
      <c r="O115" s="3"/>
      <c r="P115" s="32" t="str">
        <f>IFERROR(__xludf.DUMMYFUNCTION("SPARKLINE((J115-MIN($J115:$N115))/SUMPRODUCT($J115:$N115-MIN($J115:$N115)), {""charttype"",""bar""; ""max"",1; ""color1"",""#4285F4""})"),"")</f>
        <v/>
      </c>
      <c r="Q115" s="32" t="str">
        <f>IFERROR(__xludf.DUMMYFUNCTION("SPARKLINE((K115-MIN($J115:$N115))/SUMPRODUCT($J115:$N115-MIN($J115:$N115)), {""charttype"",""bar""; ""max"",1; ""color1"",""#4285F4""})"),"")</f>
        <v/>
      </c>
      <c r="R115" s="32" t="str">
        <f>IFERROR(__xludf.DUMMYFUNCTION("SPARKLINE((L115-MIN($J115:$N115))/SUMPRODUCT($J115:$N115-MIN($J115:$N115)), {""charttype"",""bar""; ""max"",1; ""color1"",""#4285F4""})"),"")</f>
        <v/>
      </c>
      <c r="S115" s="32" t="str">
        <f>IFERROR(__xludf.DUMMYFUNCTION("SPARKLINE((M115-MIN($J115:$N115))/SUMPRODUCT($J115:$N115-MIN($J115:$N115)), {""charttype"",""bar""; ""max"",1; ""color1"",""#4285F4""})"),"")</f>
        <v/>
      </c>
      <c r="T115" s="32" t="str">
        <f>IFERROR(__xludf.DUMMYFUNCTION("SPARKLINE((N115-MIN($J115:$N115))/SUMPRODUCT($J115:$N115-MIN($J115:$N115)), {""charttype"",""bar""; ""max"",1; ""color1"",""#4285F4""})"),"")</f>
        <v/>
      </c>
      <c r="W115" s="2"/>
      <c r="X115" s="2"/>
      <c r="Y115" s="2"/>
      <c r="Z115" s="2"/>
      <c r="AA115" s="2"/>
      <c r="AB115" s="2"/>
      <c r="AC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47" t="s">
        <v>27</v>
      </c>
      <c r="AA117" s="48"/>
      <c r="AB117" s="48"/>
      <c r="AC117" s="48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B123" s="1"/>
      <c r="C123" s="2"/>
      <c r="D123" s="2"/>
      <c r="E123" s="2"/>
      <c r="F123" s="2"/>
      <c r="G123" s="2"/>
      <c r="H123" s="2"/>
      <c r="I123" s="6" t="s">
        <v>22</v>
      </c>
      <c r="J123" s="7">
        <f t="array" ref="J123:N127">J104:N108</f>
        <v>-0.0132928993</v>
      </c>
      <c r="K123" s="8">
        <v>0.08907485058530301</v>
      </c>
      <c r="L123" s="8">
        <v>0.3467745522088682</v>
      </c>
      <c r="M123" s="8">
        <v>0.5049895082660817</v>
      </c>
      <c r="N123" s="9">
        <v>0.05788540346601942</v>
      </c>
      <c r="O123" s="3"/>
      <c r="P123" s="32" t="str">
        <f>IFERROR(__xludf.DUMMYFUNCTION("SPARKLINE((J123-MIN($J123:$N123))/SUMPRODUCT($J123:$N123-MIN($J123:$N123)), {""charttype"",""bar""; ""max"",1; ""color1"",""#4285F4""})"),"")</f>
        <v/>
      </c>
      <c r="Q123" s="32" t="str">
        <f>IFERROR(__xludf.DUMMYFUNCTION("SPARKLINE((K123-MIN($J123:$N123))/SUMPRODUCT($J123:$N123-MIN($J123:$N123)), {""charttype"",""bar""; ""max"",1; ""color1"",""#4285F4""})"),"")</f>
        <v/>
      </c>
      <c r="R123" s="32" t="str">
        <f>IFERROR(__xludf.DUMMYFUNCTION("SPARKLINE((L123-MIN($J123:$N123))/SUMPRODUCT($J123:$N123-MIN($J123:$N123)), {""charttype"",""bar""; ""max"",1; ""color1"",""#4285F4""})"),"")</f>
        <v/>
      </c>
      <c r="S123" s="32" t="str">
        <f>IFERROR(__xludf.DUMMYFUNCTION("SPARKLINE((M123-MIN($J123:$N123))/SUMPRODUCT($J123:$N123-MIN($J123:$N123)), {""charttype"",""bar""; ""max"",1; ""color1"",""#4285F4""})"),"")</f>
        <v/>
      </c>
      <c r="T123" s="32" t="str">
        <f>IFERROR(__xludf.DUMMYFUNCTION("SPARKLINE((N123-MIN($J123:$N123))/SUMPRODUCT($J123:$N123-MIN($J123:$N123)), {""charttype"",""bar""; ""max"",1; ""color1"",""#4285F4""})"),"")</f>
        <v/>
      </c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B124" s="1"/>
      <c r="C124" s="2"/>
      <c r="D124" s="2"/>
      <c r="E124" s="2"/>
      <c r="F124" s="2"/>
      <c r="G124" s="2"/>
      <c r="H124" s="2"/>
      <c r="I124" s="6"/>
      <c r="J124" s="11">
        <v>-0.7163169569848957</v>
      </c>
      <c r="K124" s="10">
        <v>-1.4233908777067967</v>
      </c>
      <c r="L124" s="10">
        <v>3.414488672993285</v>
      </c>
      <c r="M124" s="10">
        <v>1.9729097695264004</v>
      </c>
      <c r="N124" s="12">
        <v>4.744927315412851</v>
      </c>
      <c r="O124" s="3"/>
      <c r="P124" s="32" t="str">
        <f>IFERROR(__xludf.DUMMYFUNCTION("SPARKLINE((J124-MIN($J124:$N124))/SUMPRODUCT($J124:$N124-MIN($J124:$N124)), {""charttype"",""bar""; ""max"",1; ""color1"",""#4285F4""})"),"")</f>
        <v/>
      </c>
      <c r="Q124" s="32" t="str">
        <f>IFERROR(__xludf.DUMMYFUNCTION("SPARKLINE((K124-MIN($J124:$N124))/SUMPRODUCT($J124:$N124-MIN($J124:$N124)), {""charttype"",""bar""; ""max"",1; ""color1"",""#4285F4""})"),"")</f>
        <v/>
      </c>
      <c r="R124" s="32" t="str">
        <f>IFERROR(__xludf.DUMMYFUNCTION("SPARKLINE((L124-MIN($J124:$N124))/SUMPRODUCT($J124:$N124-MIN($J124:$N124)), {""charttype"",""bar""; ""max"",1; ""color1"",""#4285F4""})"),"")</f>
        <v/>
      </c>
      <c r="S124" s="32" t="str">
        <f>IFERROR(__xludf.DUMMYFUNCTION("SPARKLINE((M124-MIN($J124:$N124))/SUMPRODUCT($J124:$N124-MIN($J124:$N124)), {""charttype"",""bar""; ""max"",1; ""color1"",""#4285F4""})"),"")</f>
        <v/>
      </c>
      <c r="T124" s="32" t="str">
        <f>IFERROR(__xludf.DUMMYFUNCTION("SPARKLINE((N124-MIN($J124:$N124))/SUMPRODUCT($J124:$N124-MIN($J124:$N124)), {""charttype"",""bar""; ""max"",1; ""color1"",""#4285F4""})"),"")</f>
        <v/>
      </c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B125" s="1"/>
      <c r="C125" s="2"/>
      <c r="D125" s="2"/>
      <c r="E125" s="2"/>
      <c r="F125" s="2"/>
      <c r="G125" s="2"/>
      <c r="H125" s="2"/>
      <c r="I125" s="2"/>
      <c r="J125" s="11">
        <v>0.45614692377416843</v>
      </c>
      <c r="K125" s="10">
        <v>2.186356477103435</v>
      </c>
      <c r="L125" s="10">
        <v>1.456838944868599</v>
      </c>
      <c r="M125" s="10">
        <v>3.360883836804761</v>
      </c>
      <c r="N125" s="12">
        <v>0.5832135109309436</v>
      </c>
      <c r="O125" s="3"/>
      <c r="P125" s="32" t="str">
        <f>IFERROR(__xludf.DUMMYFUNCTION("SPARKLINE((J125-MIN($J125:$N125))/SUMPRODUCT($J125:$N125-MIN($J125:$N125)), {""charttype"",""bar""; ""max"",1; ""color1"",""#4285F4""})"),"")</f>
        <v/>
      </c>
      <c r="Q125" s="32" t="str">
        <f>IFERROR(__xludf.DUMMYFUNCTION("SPARKLINE((K125-MIN($J125:$N125))/SUMPRODUCT($J125:$N125-MIN($J125:$N125)), {""charttype"",""bar""; ""max"",1; ""color1"",""#4285F4""})"),"")</f>
        <v/>
      </c>
      <c r="R125" s="32" t="str">
        <f>IFERROR(__xludf.DUMMYFUNCTION("SPARKLINE((L125-MIN($J125:$N125))/SUMPRODUCT($J125:$N125-MIN($J125:$N125)), {""charttype"",""bar""; ""max"",1; ""color1"",""#4285F4""})"),"")</f>
        <v/>
      </c>
      <c r="S125" s="32" t="str">
        <f>IFERROR(__xludf.DUMMYFUNCTION("SPARKLINE((M125-MIN($J125:$N125))/SUMPRODUCT($J125:$N125-MIN($J125:$N125)), {""charttype"",""bar""; ""max"",1; ""color1"",""#4285F4""})"),"")</f>
        <v/>
      </c>
      <c r="T125" s="32" t="str">
        <f>IFERROR(__xludf.DUMMYFUNCTION("SPARKLINE((N125-MIN($J125:$N125))/SUMPRODUCT($J125:$N125-MIN($J125:$N125)), {""charttype"",""bar""; ""max"",1; ""color1"",""#4285F4""})"),"")</f>
        <v/>
      </c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B126" s="1"/>
      <c r="C126" s="2"/>
      <c r="D126" s="2"/>
      <c r="E126" s="2"/>
      <c r="F126" s="2"/>
      <c r="G126" s="2"/>
      <c r="H126" s="2"/>
      <c r="I126" s="17"/>
      <c r="J126" s="11">
        <v>0.46957147464106397</v>
      </c>
      <c r="K126" s="10">
        <v>2.880122599283906</v>
      </c>
      <c r="L126" s="10">
        <v>2.503865065162012</v>
      </c>
      <c r="M126" s="10">
        <v>4.952576912042062</v>
      </c>
      <c r="N126" s="12">
        <v>1.0867137464744192</v>
      </c>
      <c r="O126" s="3"/>
      <c r="P126" s="32" t="str">
        <f>IFERROR(__xludf.DUMMYFUNCTION("SPARKLINE((J126-MIN($J126:$N126))/SUMPRODUCT($J126:$N126-MIN($J126:$N126)), {""charttype"",""bar""; ""max"",1; ""color1"",""#4285F4""})"),"")</f>
        <v/>
      </c>
      <c r="Q126" s="32" t="str">
        <f>IFERROR(__xludf.DUMMYFUNCTION("SPARKLINE((K126-MIN($J126:$N126))/SUMPRODUCT($J126:$N126-MIN($J126:$N126)), {""charttype"",""bar""; ""max"",1; ""color1"",""#4285F4""})"),"")</f>
        <v/>
      </c>
      <c r="R126" s="32" t="str">
        <f>IFERROR(__xludf.DUMMYFUNCTION("SPARKLINE((L126-MIN($J126:$N126))/SUMPRODUCT($J126:$N126-MIN($J126:$N126)), {""charttype"",""bar""; ""max"",1; ""color1"",""#4285F4""})"),"")</f>
        <v/>
      </c>
      <c r="S126" s="32" t="str">
        <f>IFERROR(__xludf.DUMMYFUNCTION("SPARKLINE((M126-MIN($J126:$N126))/SUMPRODUCT($J126:$N126-MIN($J126:$N126)), {""charttype"",""bar""; ""max"",1; ""color1"",""#4285F4""})"),"")</f>
        <v/>
      </c>
      <c r="T126" s="32" t="str">
        <f>IFERROR(__xludf.DUMMYFUNCTION("SPARKLINE((N126-MIN($J126:$N126))/SUMPRODUCT($J126:$N126-MIN($J126:$N126)), {""charttype"",""bar""; ""max"",1; ""color1"",""#4285F4""})"),"")</f>
        <v/>
      </c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B127" s="1"/>
      <c r="C127" s="2"/>
      <c r="D127" s="2"/>
      <c r="E127" s="2"/>
      <c r="F127" s="2"/>
      <c r="G127" s="2"/>
      <c r="H127" s="2"/>
      <c r="I127" s="2"/>
      <c r="J127" s="13">
        <v>0.3698880085577116</v>
      </c>
      <c r="K127" s="14">
        <v>1.5153108055785502</v>
      </c>
      <c r="L127" s="14">
        <v>3.1133374072438205</v>
      </c>
      <c r="M127" s="14">
        <v>5.199482225296647</v>
      </c>
      <c r="N127" s="15">
        <v>2.0789283736319946</v>
      </c>
      <c r="O127" s="3"/>
      <c r="P127" s="32" t="str">
        <f>IFERROR(__xludf.DUMMYFUNCTION("SPARKLINE((J127-MIN($J127:$N127))/SUMPRODUCT($J127:$N127-MIN($J127:$N127)), {""charttype"",""bar""; ""max"",1; ""color1"",""#4285F4""})"),"")</f>
        <v/>
      </c>
      <c r="Q127" s="32" t="str">
        <f>IFERROR(__xludf.DUMMYFUNCTION("SPARKLINE((K127-MIN($J127:$N127))/SUMPRODUCT($J127:$N127-MIN($J127:$N127)), {""charttype"",""bar""; ""max"",1; ""color1"",""#4285F4""})"),"")</f>
        <v/>
      </c>
      <c r="R127" s="32" t="str">
        <f>IFERROR(__xludf.DUMMYFUNCTION("SPARKLINE((L127-MIN($J127:$N127))/SUMPRODUCT($J127:$N127-MIN($J127:$N127)), {""charttype"",""bar""; ""max"",1; ""color1"",""#4285F4""})"),"")</f>
        <v/>
      </c>
      <c r="S127" s="32" t="str">
        <f>IFERROR(__xludf.DUMMYFUNCTION("SPARKLINE((M127-MIN($J127:$N127))/SUMPRODUCT($J127:$N127-MIN($J127:$N127)), {""charttype"",""bar""; ""max"",1; ""color1"",""#4285F4""})"),"")</f>
        <v/>
      </c>
      <c r="T127" s="32" t="str">
        <f>IFERROR(__xludf.DUMMYFUNCTION("SPARKLINE((N127-MIN($J127:$N127))/SUMPRODUCT($J127:$N127-MIN($J127:$N127)), {""charttype"",""bar""; ""max"",1; ""color1"",""#4285F4""})"),"")</f>
        <v/>
      </c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1" t="s">
        <v>4</v>
      </c>
      <c r="M128" s="2"/>
      <c r="N128" s="2"/>
      <c r="O128" s="3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1" t="s">
        <v>4</v>
      </c>
      <c r="M129" s="2"/>
      <c r="N129" s="2"/>
      <c r="O129" s="3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B130" s="6" t="s">
        <v>28</v>
      </c>
      <c r="C130" s="49">
        <v>0.0</v>
      </c>
      <c r="D130" s="50">
        <v>-99.0</v>
      </c>
      <c r="E130" s="50">
        <v>-99.0</v>
      </c>
      <c r="F130" s="50">
        <v>-99.0</v>
      </c>
      <c r="G130" s="51">
        <v>-99.0</v>
      </c>
      <c r="H130" s="2"/>
      <c r="I130" s="6" t="s">
        <v>29</v>
      </c>
      <c r="J130" s="7">
        <f t="array" ref="J130:N134">J123:N127+C130:G134</f>
        <v>-0.0132928993</v>
      </c>
      <c r="K130" s="52">
        <v>-98.9109251494147</v>
      </c>
      <c r="L130" s="53">
        <v>-98.65322544779113</v>
      </c>
      <c r="M130" s="52">
        <v>-98.49501049173392</v>
      </c>
      <c r="N130" s="54">
        <v>-98.94211459653398</v>
      </c>
      <c r="O130" s="3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B131" s="6" t="s">
        <v>31</v>
      </c>
      <c r="C131" s="55">
        <v>0.0</v>
      </c>
      <c r="D131" s="56">
        <v>0.0</v>
      </c>
      <c r="E131" s="57">
        <v>-99.0</v>
      </c>
      <c r="F131" s="57">
        <v>-99.0</v>
      </c>
      <c r="G131" s="58">
        <v>-99.0</v>
      </c>
      <c r="H131" s="2"/>
      <c r="I131" s="2"/>
      <c r="J131" s="11">
        <v>-0.7163169569848957</v>
      </c>
      <c r="K131" s="10">
        <v>-1.4233908777067967</v>
      </c>
      <c r="L131" s="59">
        <v>-95.58551132700671</v>
      </c>
      <c r="M131" s="60">
        <v>-97.0270902304736</v>
      </c>
      <c r="N131" s="61">
        <v>-94.25507268458715</v>
      </c>
      <c r="O131" s="3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B132" s="1"/>
      <c r="C132" s="55">
        <v>0.0</v>
      </c>
      <c r="D132" s="56">
        <v>0.0</v>
      </c>
      <c r="E132" s="56">
        <v>0.0</v>
      </c>
      <c r="F132" s="57">
        <v>-99.0</v>
      </c>
      <c r="G132" s="58">
        <v>-99.0</v>
      </c>
      <c r="H132" s="17" t="s">
        <v>8</v>
      </c>
      <c r="I132" s="17" t="s">
        <v>8</v>
      </c>
      <c r="J132" s="11">
        <v>0.45614692377416843</v>
      </c>
      <c r="K132" s="10">
        <v>2.186356477103435</v>
      </c>
      <c r="L132" s="17">
        <v>1.456838944868599</v>
      </c>
      <c r="M132" s="60">
        <v>-95.63911616319524</v>
      </c>
      <c r="N132" s="61">
        <v>-98.41678648906905</v>
      </c>
      <c r="O132" s="3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B133" s="1"/>
      <c r="C133" s="55">
        <v>0.0</v>
      </c>
      <c r="D133" s="56">
        <v>0.0</v>
      </c>
      <c r="E133" s="56">
        <v>0.0</v>
      </c>
      <c r="F133" s="56">
        <v>0.0</v>
      </c>
      <c r="G133" s="58">
        <v>-99.0</v>
      </c>
      <c r="H133" s="2"/>
      <c r="I133" s="2"/>
      <c r="J133" s="11">
        <v>0.46957147464106397</v>
      </c>
      <c r="K133" s="10">
        <v>2.880122599283906</v>
      </c>
      <c r="L133" s="17">
        <v>2.503865065162012</v>
      </c>
      <c r="M133" s="10">
        <v>4.952576912042062</v>
      </c>
      <c r="N133" s="61">
        <v>-97.91328625352558</v>
      </c>
      <c r="O133" s="3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B134" s="1"/>
      <c r="C134" s="62">
        <v>0.0</v>
      </c>
      <c r="D134" s="63">
        <v>0.0</v>
      </c>
      <c r="E134" s="63">
        <v>0.0</v>
      </c>
      <c r="F134" s="63">
        <v>0.0</v>
      </c>
      <c r="G134" s="64">
        <v>0.0</v>
      </c>
      <c r="H134" s="2"/>
      <c r="I134" s="2"/>
      <c r="J134" s="13">
        <v>0.3698880085577116</v>
      </c>
      <c r="K134" s="14">
        <v>1.5153108055785502</v>
      </c>
      <c r="L134" s="65">
        <v>3.1133374072438205</v>
      </c>
      <c r="M134" s="14">
        <v>5.199482225296647</v>
      </c>
      <c r="N134" s="15">
        <v>2.0789283736319946</v>
      </c>
      <c r="O134" s="3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1" t="s">
        <v>4</v>
      </c>
      <c r="M135" s="2"/>
      <c r="N135" s="2"/>
      <c r="O135" s="3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1" t="s">
        <v>4</v>
      </c>
      <c r="M136" s="2"/>
      <c r="N136" s="2"/>
      <c r="O136" s="3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B137" s="1"/>
      <c r="C137" s="2"/>
      <c r="D137" s="2"/>
      <c r="E137" s="2"/>
      <c r="F137" s="2"/>
      <c r="G137" s="2"/>
      <c r="H137" s="2"/>
      <c r="I137" s="34" t="s">
        <v>24</v>
      </c>
      <c r="J137" s="46">
        <f t="shared" ref="J137:N137" si="31">EXP(J130)/SUMPRODUCT(EXP($J130:$N130))
</f>
        <v>1</v>
      </c>
      <c r="K137" s="36">
        <f t="shared" si="31"/>
        <v>0</v>
      </c>
      <c r="L137" s="36">
        <f t="shared" si="31"/>
        <v>0</v>
      </c>
      <c r="M137" s="36">
        <f t="shared" si="31"/>
        <v>0</v>
      </c>
      <c r="N137" s="37">
        <f t="shared" si="31"/>
        <v>0</v>
      </c>
      <c r="O137" s="3"/>
      <c r="P137" s="32" t="str">
        <f>IFERROR(__xludf.DUMMYFUNCTION("SPARKLINE((J137-MIN($J137:$N137))/SUMPRODUCT($J137:$N137-MIN($J137:$N137)), {""charttype"",""bar""; ""max"",1; ""color1"",""#4285F4""})"),"")</f>
        <v/>
      </c>
      <c r="Q137" s="32" t="str">
        <f>IFERROR(__xludf.DUMMYFUNCTION("SPARKLINE((K137-MIN($J137:$N137))/SUMPRODUCT($J137:$N137-MIN($J137:$N137)), {""charttype"",""bar""; ""max"",1; ""color1"",""#4285F4""})"),"")</f>
        <v/>
      </c>
      <c r="R137" s="32" t="str">
        <f>IFERROR(__xludf.DUMMYFUNCTION("SPARKLINE((L137-MIN($J137:$N137))/SUMPRODUCT($J137:$N137-MIN($J137:$N137)), {""charttype"",""bar""; ""max"",1; ""color1"",""#4285F4""})"),"")</f>
        <v/>
      </c>
      <c r="S137" s="32" t="str">
        <f>IFERROR(__xludf.DUMMYFUNCTION("SPARKLINE((M137-MIN($J137:$N137))/SUMPRODUCT($J137:$N137-MIN($J137:$N137)), {""charttype"",""bar""; ""max"",1; ""color1"",""#4285F4""})"),"")</f>
        <v/>
      </c>
      <c r="T137" s="32" t="str">
        <f>IFERROR(__xludf.DUMMYFUNCTION("SPARKLINE((N137-MIN($J137:$N137))/SUMPRODUCT($J137:$N137-MIN($J137:$N137)), {""charttype"",""bar""; ""max"",1; ""color1"",""#4285F4""})"),"")</f>
        <v/>
      </c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B138" s="1"/>
      <c r="C138" s="2"/>
      <c r="D138" s="2"/>
      <c r="E138" s="2"/>
      <c r="F138" s="2"/>
      <c r="G138" s="2"/>
      <c r="H138" s="2"/>
      <c r="I138" s="34" t="s">
        <v>26</v>
      </c>
      <c r="J138" s="38">
        <f t="shared" ref="J138:N138" si="32">EXP(J131)/SUMPRODUCT(EXP($J131:$N131))
</f>
        <v>0.6697542812</v>
      </c>
      <c r="K138" s="39">
        <f t="shared" si="32"/>
        <v>0.3302457188</v>
      </c>
      <c r="L138" s="39">
        <f t="shared" si="32"/>
        <v>0</v>
      </c>
      <c r="M138" s="39">
        <f t="shared" si="32"/>
        <v>0</v>
      </c>
      <c r="N138" s="40">
        <f t="shared" si="32"/>
        <v>0</v>
      </c>
      <c r="O138" s="3"/>
      <c r="P138" s="32" t="str">
        <f>IFERROR(__xludf.DUMMYFUNCTION("SPARKLINE((J138-MIN($J138:$N138))/SUMPRODUCT($J138:$N138-MIN($J138:$N138)), {""charttype"",""bar""; ""max"",1; ""color1"",""#4285F4""})"),"")</f>
        <v/>
      </c>
      <c r="Q138" s="32" t="str">
        <f>IFERROR(__xludf.DUMMYFUNCTION("SPARKLINE((K138-MIN($J138:$N138))/SUMPRODUCT($J138:$N138-MIN($J138:$N138)), {""charttype"",""bar""; ""max"",1; ""color1"",""#4285F4""})"),"")</f>
        <v/>
      </c>
      <c r="R138" s="32" t="str">
        <f>IFERROR(__xludf.DUMMYFUNCTION("SPARKLINE((L138-MIN($J138:$N138))/SUMPRODUCT($J138:$N138-MIN($J138:$N138)), {""charttype"",""bar""; ""max"",1; ""color1"",""#4285F4""})"),"")</f>
        <v/>
      </c>
      <c r="S138" s="32" t="str">
        <f>IFERROR(__xludf.DUMMYFUNCTION("SPARKLINE((M138-MIN($J138:$N138))/SUMPRODUCT($J138:$N138-MIN($J138:$N138)), {""charttype"",""bar""; ""max"",1; ""color1"",""#4285F4""})"),"")</f>
        <v/>
      </c>
      <c r="T138" s="32" t="str">
        <f>IFERROR(__xludf.DUMMYFUNCTION("SPARKLINE((N138-MIN($J138:$N138))/SUMPRODUCT($J138:$N138-MIN($J138:$N138)), {""charttype"",""bar""; ""max"",1; ""color1"",""#4285F4""})"),"")</f>
        <v/>
      </c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B139" s="1"/>
      <c r="C139" s="2"/>
      <c r="D139" s="2"/>
      <c r="E139" s="2"/>
      <c r="F139" s="2"/>
      <c r="G139" s="2"/>
      <c r="H139" s="2"/>
      <c r="I139" s="41"/>
      <c r="J139" s="38">
        <f t="shared" ref="J139:N139" si="33">EXP(J132)/SUMPRODUCT(EXP($J132:$N132))
</f>
        <v>0.1068147873</v>
      </c>
      <c r="K139" s="39">
        <f t="shared" si="33"/>
        <v>0.6026315177</v>
      </c>
      <c r="L139" s="39">
        <f t="shared" si="33"/>
        <v>0.290553695</v>
      </c>
      <c r="M139" s="39">
        <f t="shared" si="33"/>
        <v>0</v>
      </c>
      <c r="N139" s="40">
        <f t="shared" si="33"/>
        <v>0</v>
      </c>
      <c r="O139" s="3"/>
      <c r="P139" s="32" t="str">
        <f>IFERROR(__xludf.DUMMYFUNCTION("SPARKLINE((J139-MIN($J139:$N139))/SUMPRODUCT($J139:$N139-MIN($J139:$N139)), {""charttype"",""bar""; ""max"",1; ""color1"",""#4285F4""})"),"")</f>
        <v/>
      </c>
      <c r="Q139" s="32" t="str">
        <f>IFERROR(__xludf.DUMMYFUNCTION("SPARKLINE((K139-MIN($J139:$N139))/SUMPRODUCT($J139:$N139-MIN($J139:$N139)), {""charttype"",""bar""; ""max"",1; ""color1"",""#4285F4""})"),"")</f>
        <v/>
      </c>
      <c r="R139" s="32" t="str">
        <f>IFERROR(__xludf.DUMMYFUNCTION("SPARKLINE((L139-MIN($J139:$N139))/SUMPRODUCT($J139:$N139-MIN($J139:$N139)), {""charttype"",""bar""; ""max"",1; ""color1"",""#4285F4""})"),"")</f>
        <v/>
      </c>
      <c r="S139" s="32" t="str">
        <f>IFERROR(__xludf.DUMMYFUNCTION("SPARKLINE((M139-MIN($J139:$N139))/SUMPRODUCT($J139:$N139-MIN($J139:$N139)), {""charttype"",""bar""; ""max"",1; ""color1"",""#4285F4""})"),"")</f>
        <v/>
      </c>
      <c r="T139" s="32" t="str">
        <f>IFERROR(__xludf.DUMMYFUNCTION("SPARKLINE((N139-MIN($J139:$N139))/SUMPRODUCT($J139:$N139-MIN($J139:$N139)), {""charttype"",""bar""; ""max"",1; ""color1"",""#4285F4""})"),"")</f>
        <v/>
      </c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B140" s="1"/>
      <c r="C140" s="2"/>
      <c r="D140" s="2"/>
      <c r="E140" s="2"/>
      <c r="F140" s="2"/>
      <c r="G140" s="2"/>
      <c r="H140" s="2"/>
      <c r="I140" s="42"/>
      <c r="J140" s="38">
        <f t="shared" ref="J140:N140" si="34">EXP(J133)/SUMPRODUCT(EXP($J133:$N133))
</f>
        <v>0.009234701554</v>
      </c>
      <c r="K140" s="39">
        <f t="shared" si="34"/>
        <v>0.1028754899</v>
      </c>
      <c r="L140" s="39">
        <f t="shared" si="34"/>
        <v>0.0706163629</v>
      </c>
      <c r="M140" s="39">
        <f t="shared" si="34"/>
        <v>0.8172734457</v>
      </c>
      <c r="N140" s="40">
        <f t="shared" si="34"/>
        <v>0</v>
      </c>
      <c r="O140" s="3"/>
      <c r="P140" s="32" t="str">
        <f>IFERROR(__xludf.DUMMYFUNCTION("SPARKLINE((J140-MIN($J140:$N140))/SUMPRODUCT($J140:$N140-MIN($J140:$N140)), {""charttype"",""bar""; ""max"",1; ""color1"",""#4285F4""})"),"")</f>
        <v/>
      </c>
      <c r="Q140" s="32" t="str">
        <f>IFERROR(__xludf.DUMMYFUNCTION("SPARKLINE((K140-MIN($J140:$N140))/SUMPRODUCT($J140:$N140-MIN($J140:$N140)), {""charttype"",""bar""; ""max"",1; ""color1"",""#4285F4""})"),"")</f>
        <v/>
      </c>
      <c r="R140" s="32" t="str">
        <f>IFERROR(__xludf.DUMMYFUNCTION("SPARKLINE((L140-MIN($J140:$N140))/SUMPRODUCT($J140:$N140-MIN($J140:$N140)), {""charttype"",""bar""; ""max"",1; ""color1"",""#4285F4""})"),"")</f>
        <v/>
      </c>
      <c r="S140" s="32" t="str">
        <f>IFERROR(__xludf.DUMMYFUNCTION("SPARKLINE((M140-MIN($J140:$N140))/SUMPRODUCT($J140:$N140-MIN($J140:$N140)), {""charttype"",""bar""; ""max"",1; ""color1"",""#4285F4""})"),"")</f>
        <v/>
      </c>
      <c r="T140" s="32" t="str">
        <f>IFERROR(__xludf.DUMMYFUNCTION("SPARKLINE((N140-MIN($J140:$N140))/SUMPRODUCT($J140:$N140-MIN($J140:$N140)), {""charttype"",""bar""; ""max"",1; ""color1"",""#4285F4""})"),"")</f>
        <v/>
      </c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B141" s="1"/>
      <c r="C141" s="2"/>
      <c r="D141" s="2"/>
      <c r="E141" s="2"/>
      <c r="F141" s="2"/>
      <c r="G141" s="2"/>
      <c r="H141" s="2"/>
      <c r="I141" s="41"/>
      <c r="J141" s="43">
        <f t="shared" ref="J141:N141" si="35">EXP(J134)/SUMPRODUCT(EXP($J134:$N134))
</f>
        <v>0.006650347199</v>
      </c>
      <c r="K141" s="44">
        <f t="shared" si="35"/>
        <v>0.0209071637</v>
      </c>
      <c r="L141" s="44">
        <f t="shared" si="35"/>
        <v>0.1033497082</v>
      </c>
      <c r="M141" s="44">
        <f t="shared" si="35"/>
        <v>0.8323585358</v>
      </c>
      <c r="N141" s="45">
        <f t="shared" si="35"/>
        <v>0.03673424509</v>
      </c>
      <c r="O141" s="3"/>
      <c r="P141" s="32" t="str">
        <f>IFERROR(__xludf.DUMMYFUNCTION("SPARKLINE((J141-MIN($J141:$N141))/SUMPRODUCT($J141:$N141-MIN($J141:$N141)), {""charttype"",""bar""; ""max"",1; ""color1"",""#4285F4""})"),"")</f>
        <v/>
      </c>
      <c r="Q141" s="32" t="str">
        <f>IFERROR(__xludf.DUMMYFUNCTION("SPARKLINE((K141-MIN($J141:$N141))/SUMPRODUCT($J141:$N141-MIN($J141:$N141)), {""charttype"",""bar""; ""max"",1; ""color1"",""#4285F4""})"),"")</f>
        <v/>
      </c>
      <c r="R141" s="32" t="str">
        <f>IFERROR(__xludf.DUMMYFUNCTION("SPARKLINE((L141-MIN($J141:$N141))/SUMPRODUCT($J141:$N141-MIN($J141:$N141)), {""charttype"",""bar""; ""max"",1; ""color1"",""#4285F4""})"),"")</f>
        <v/>
      </c>
      <c r="S141" s="32" t="str">
        <f>IFERROR(__xludf.DUMMYFUNCTION("SPARKLINE((M141-MIN($J141:$N141))/SUMPRODUCT($J141:$N141-MIN($J141:$N141)), {""charttype"",""bar""; ""max"",1; ""color1"",""#4285F4""})"),"")</f>
        <v/>
      </c>
      <c r="T141" s="32" t="str">
        <f>IFERROR(__xludf.DUMMYFUNCTION("SPARKLINE((N141-MIN($J141:$N141))/SUMPRODUCT($J141:$N141-MIN($J141:$N141)), {""charttype"",""bar""; ""max"",1; ""color1"",""#4285F4""})"),"")</f>
        <v/>
      </c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4" t="s">
        <v>32</v>
      </c>
      <c r="AA143" s="4"/>
      <c r="AB143" s="4"/>
      <c r="AC143" s="4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B149" s="1"/>
      <c r="C149" s="2"/>
      <c r="D149" s="2"/>
      <c r="E149" s="2"/>
      <c r="F149" s="2"/>
      <c r="G149" s="2"/>
      <c r="H149" s="2"/>
      <c r="I149" s="6" t="s">
        <v>15</v>
      </c>
      <c r="J149" s="7">
        <f t="array" ref="J149:N153">X70:AB74</f>
        <v>0.3702519877</v>
      </c>
      <c r="K149" s="8">
        <v>1.9858130442454094</v>
      </c>
      <c r="L149" s="8">
        <v>1.8039204543317038</v>
      </c>
      <c r="M149" s="8">
        <v>3.949413218716684</v>
      </c>
      <c r="N149" s="9">
        <v>-0.6259108743847073</v>
      </c>
      <c r="O149" s="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B150" s="1"/>
      <c r="C150" s="2"/>
      <c r="D150" s="2"/>
      <c r="E150" s="2"/>
      <c r="F150" s="2"/>
      <c r="G150" s="2"/>
      <c r="H150" s="2"/>
      <c r="I150" s="1"/>
      <c r="J150" s="11">
        <v>0.09758983148208986</v>
      </c>
      <c r="K150" s="10">
        <v>-1.7720069967839904</v>
      </c>
      <c r="L150" s="10">
        <v>-1.013109354480193</v>
      </c>
      <c r="M150" s="10">
        <v>-0.7666423567921097</v>
      </c>
      <c r="N150" s="12">
        <v>-3.635827218288292</v>
      </c>
      <c r="O150" s="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B151" s="1"/>
      <c r="C151" s="2"/>
      <c r="D151" s="2"/>
      <c r="E151" s="2"/>
      <c r="F151" s="2"/>
      <c r="G151" s="2"/>
      <c r="H151" s="2"/>
      <c r="I151" s="1"/>
      <c r="J151" s="11">
        <v>1.1107200540957114</v>
      </c>
      <c r="K151" s="10">
        <v>-0.7838838697356622</v>
      </c>
      <c r="L151" s="10">
        <v>0.6724200593505825</v>
      </c>
      <c r="M151" s="10">
        <v>2.768384294645017</v>
      </c>
      <c r="N151" s="12">
        <v>3.6391675202430704</v>
      </c>
      <c r="O151" s="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B152" s="1"/>
      <c r="C152" s="2"/>
      <c r="D152" s="2"/>
      <c r="E152" s="2"/>
      <c r="F152" s="2"/>
      <c r="G152" s="2"/>
      <c r="H152" s="2"/>
      <c r="I152" s="1"/>
      <c r="J152" s="11">
        <v>0.44841259294346936</v>
      </c>
      <c r="K152" s="10">
        <v>-0.90976832942652</v>
      </c>
      <c r="L152" s="10">
        <v>0.5633002072076722</v>
      </c>
      <c r="M152" s="10">
        <v>1.8741627675443584</v>
      </c>
      <c r="N152" s="12">
        <v>-1.2170532984512994</v>
      </c>
      <c r="O152" s="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B153" s="1"/>
      <c r="C153" s="2"/>
      <c r="D153" s="2"/>
      <c r="E153" s="2"/>
      <c r="F153" s="2"/>
      <c r="G153" s="2"/>
      <c r="H153" s="2"/>
      <c r="I153" s="1"/>
      <c r="J153" s="13">
        <v>0.4267672975130138</v>
      </c>
      <c r="K153" s="14">
        <v>5.217003359003076</v>
      </c>
      <c r="L153" s="14">
        <v>-0.5255391045823893</v>
      </c>
      <c r="M153" s="14">
        <v>0.5792609018809911</v>
      </c>
      <c r="N153" s="15">
        <v>2.767666866892094</v>
      </c>
      <c r="O153" s="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1" t="s">
        <v>4</v>
      </c>
      <c r="M154" s="2"/>
      <c r="N154" s="2"/>
      <c r="O154" s="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1" t="s">
        <v>4</v>
      </c>
      <c r="M155" s="2"/>
      <c r="N155" s="2"/>
      <c r="O155" s="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B156" s="34" t="s">
        <v>24</v>
      </c>
      <c r="C156" s="46">
        <f t="array" ref="C156:G160">J137:N141</f>
        <v>1</v>
      </c>
      <c r="D156" s="36">
        <v>1.1202218528914613E-43</v>
      </c>
      <c r="E156" s="36">
        <v>1.4495112784206903E-43</v>
      </c>
      <c r="F156" s="36">
        <v>1.6979835607594394E-43</v>
      </c>
      <c r="G156" s="37">
        <v>1.0858219974683358E-43</v>
      </c>
      <c r="H156" s="2"/>
      <c r="I156" s="6" t="s">
        <v>33</v>
      </c>
      <c r="J156" s="7">
        <f t="array" ref="J156:N160">MMULT(J149:N153,C156:G160)</f>
        <v>1.925253283</v>
      </c>
      <c r="K156" s="8">
        <v>2.1361173758875114</v>
      </c>
      <c r="L156" s="8">
        <v>0.738341244474284</v>
      </c>
      <c r="M156" s="8">
        <v>2.7067682906307695</v>
      </c>
      <c r="N156" s="9">
        <v>-0.022992363467022693</v>
      </c>
      <c r="O156" s="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B157" s="34" t="s">
        <v>26</v>
      </c>
      <c r="C157" s="38">
        <v>0.6697542811751437</v>
      </c>
      <c r="D157" s="39">
        <v>0.3302457188248563</v>
      </c>
      <c r="E157" s="39">
        <v>4.214517687845398E-42</v>
      </c>
      <c r="F157" s="39">
        <v>9.969608813812046E-43</v>
      </c>
      <c r="G157" s="40">
        <v>1.5942265655921274E-41</v>
      </c>
      <c r="H157" s="2"/>
      <c r="I157" s="2"/>
      <c r="J157" s="11">
        <v>-1.2286937278159678</v>
      </c>
      <c r="K157" s="10">
        <v>-1.3506128950956926</v>
      </c>
      <c r="L157" s="10">
        <v>-0.7242618432921746</v>
      </c>
      <c r="M157" s="10">
        <v>-3.652868260500443</v>
      </c>
      <c r="N157" s="12">
        <v>-0.13355936815821673</v>
      </c>
      <c r="O157" s="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B158" s="66" t="s">
        <v>35</v>
      </c>
      <c r="C158" s="38">
        <v>0.10681478729677363</v>
      </c>
      <c r="D158" s="39">
        <v>0.6026315176536976</v>
      </c>
      <c r="E158" s="39">
        <v>0.29055369504952877</v>
      </c>
      <c r="F158" s="39">
        <v>1.972372252868891E-43</v>
      </c>
      <c r="G158" s="40">
        <v>1.2264842886023888E-44</v>
      </c>
      <c r="H158" s="17" t="s">
        <v>8</v>
      </c>
      <c r="I158" s="17" t="s">
        <v>8</v>
      </c>
      <c r="J158" s="11">
        <v>0.7073018122838334</v>
      </c>
      <c r="K158" s="10">
        <v>0.5072307903883968</v>
      </c>
      <c r="L158" s="10">
        <v>0.7669742640800257</v>
      </c>
      <c r="M158" s="10">
        <v>5.291619120217549</v>
      </c>
      <c r="N158" s="12">
        <v>0.13368207162891352</v>
      </c>
      <c r="O158" s="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B159" s="42"/>
      <c r="C159" s="38">
        <v>0.009234701553829733</v>
      </c>
      <c r="D159" s="39">
        <v>0.10287548988348659</v>
      </c>
      <c r="E159" s="39">
        <v>0.07061636290188558</v>
      </c>
      <c r="F159" s="39">
        <v>0.8172734456607981</v>
      </c>
      <c r="G159" s="40">
        <v>1.730974377341951E-45</v>
      </c>
      <c r="H159" s="2"/>
      <c r="I159" s="2"/>
      <c r="J159" s="11">
        <v>-0.09152634192380694</v>
      </c>
      <c r="K159" s="10">
        <v>0.20637564314469922</v>
      </c>
      <c r="L159" s="10">
        <v>0.170233411531217</v>
      </c>
      <c r="M159" s="10">
        <v>0.5186787612240717</v>
      </c>
      <c r="N159" s="12">
        <v>-0.044707534158500345</v>
      </c>
      <c r="O159" s="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B160" s="41"/>
      <c r="C160" s="43">
        <v>0.006650347199496687</v>
      </c>
      <c r="D160" s="44">
        <v>0.02090716369517147</v>
      </c>
      <c r="E160" s="44">
        <v>0.10334970817244385</v>
      </c>
      <c r="F160" s="44">
        <v>0.8323585358382888</v>
      </c>
      <c r="G160" s="45">
        <v>0.03673424509459914</v>
      </c>
      <c r="H160" s="2"/>
      <c r="I160" s="2"/>
      <c r="J160" s="13">
        <v>3.888497531586373</v>
      </c>
      <c r="K160" s="14">
        <v>1.5236424095159828</v>
      </c>
      <c r="L160" s="14">
        <v>0.17424553234450757</v>
      </c>
      <c r="M160" s="14">
        <v>2.7771056942313064</v>
      </c>
      <c r="N160" s="15">
        <v>0.10166815302861547</v>
      </c>
      <c r="O160" s="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4" t="s">
        <v>36</v>
      </c>
      <c r="AA162" s="4"/>
      <c r="AB162" s="4"/>
      <c r="AC162" s="4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I165" s="6" t="s">
        <v>5</v>
      </c>
      <c r="J165" s="7">
        <f t="array" ref="J165:N169">$C$19:$G$23</f>
        <v>1.272113566</v>
      </c>
      <c r="K165" s="8">
        <v>0.4677891307809146</v>
      </c>
      <c r="L165" s="8">
        <v>-1.677017652996455</v>
      </c>
      <c r="M165" s="8">
        <v>0.2993713183936993</v>
      </c>
      <c r="N165" s="9">
        <v>0.476813242644485</v>
      </c>
      <c r="O165" s="3"/>
      <c r="P165" s="6" t="s">
        <v>10</v>
      </c>
      <c r="Q165" s="7">
        <f t="array" ref="Q165:U169">$C$34:$G$38</f>
        <v>1.063651829</v>
      </c>
      <c r="R165" s="8">
        <v>0.35338241349605426</v>
      </c>
      <c r="S165" s="8">
        <v>-0.7836706658208885</v>
      </c>
      <c r="T165" s="8">
        <v>0.4793204895350961</v>
      </c>
      <c r="U165" s="9">
        <v>-0.43139864444530585</v>
      </c>
      <c r="V165" s="2"/>
    </row>
    <row r="166">
      <c r="I166" s="1"/>
      <c r="J166" s="11">
        <v>-0.7903570959847258</v>
      </c>
      <c r="K166" s="10">
        <v>-1.2165931528714586</v>
      </c>
      <c r="L166" s="10">
        <v>1.2484591117439976</v>
      </c>
      <c r="M166" s="10">
        <v>0.3431122602315513</v>
      </c>
      <c r="N166" s="12">
        <v>-0.1720587191771034</v>
      </c>
      <c r="O166" s="3"/>
      <c r="P166" s="2"/>
      <c r="Q166" s="11">
        <v>0.3010094290779635</v>
      </c>
      <c r="R166" s="10">
        <v>-0.241573210577368</v>
      </c>
      <c r="S166" s="10">
        <v>-1.4640098664579442</v>
      </c>
      <c r="T166" s="10">
        <v>-0.38897901601343676</v>
      </c>
      <c r="U166" s="12">
        <v>-0.6709583132732913</v>
      </c>
      <c r="V166" s="2"/>
    </row>
    <row r="167">
      <c r="I167" s="1"/>
      <c r="J167" s="11">
        <v>-1.3343016485850847</v>
      </c>
      <c r="K167" s="10">
        <v>-0.10364166483408346</v>
      </c>
      <c r="L167" s="10">
        <v>0.3799631551073586</v>
      </c>
      <c r="M167" s="10">
        <v>-0.712437364154779</v>
      </c>
      <c r="N167" s="12">
        <v>1.0417943046639955</v>
      </c>
      <c r="O167" s="3"/>
      <c r="P167" s="2"/>
      <c r="Q167" s="11">
        <v>1.4298433885396915</v>
      </c>
      <c r="R167" s="10">
        <v>1.460942320576962</v>
      </c>
      <c r="S167" s="10">
        <v>2.1433696684782952</v>
      </c>
      <c r="T167" s="10">
        <v>-0.11288676076020235</v>
      </c>
      <c r="U167" s="12">
        <v>-0.4410943118096567</v>
      </c>
      <c r="V167" s="2"/>
    </row>
    <row r="168">
      <c r="I168" s="1"/>
      <c r="J168" s="11">
        <v>-0.6587649635968295</v>
      </c>
      <c r="K168" s="10">
        <v>1.013542303644277</v>
      </c>
      <c r="L168" s="10">
        <v>-1.0046332532170803</v>
      </c>
      <c r="M168" s="10">
        <v>0.11516761022958702</v>
      </c>
      <c r="N168" s="12">
        <v>-0.23643519785730416</v>
      </c>
      <c r="O168" s="3"/>
      <c r="P168" s="2"/>
      <c r="Q168" s="11">
        <v>0.13487990473101663</v>
      </c>
      <c r="R168" s="10">
        <v>0.05813052067536804</v>
      </c>
      <c r="S168" s="10">
        <v>-0.53187381832848</v>
      </c>
      <c r="T168" s="10">
        <v>-0.0064143667526808</v>
      </c>
      <c r="U168" s="12">
        <v>-0.44305343893592236</v>
      </c>
      <c r="V168" s="2"/>
    </row>
    <row r="169">
      <c r="I169" s="1"/>
      <c r="J169" s="13">
        <v>0.16255200297869576</v>
      </c>
      <c r="K169" s="14">
        <v>0.44942980835304286</v>
      </c>
      <c r="L169" s="14">
        <v>-0.07430562901810317</v>
      </c>
      <c r="M169" s="14">
        <v>-0.20873163214101953</v>
      </c>
      <c r="N169" s="15">
        <v>0.8281020358081082</v>
      </c>
      <c r="O169" s="3"/>
      <c r="P169" s="2"/>
      <c r="Q169" s="13">
        <v>-0.2990583681709889</v>
      </c>
      <c r="R169" s="14">
        <v>-0.8022097778861991</v>
      </c>
      <c r="S169" s="14">
        <v>0.42008140693245327</v>
      </c>
      <c r="T169" s="14">
        <v>0.523666032215578</v>
      </c>
      <c r="U169" s="15">
        <v>-0.24438005549284048</v>
      </c>
      <c r="V169" s="2"/>
    </row>
    <row r="170">
      <c r="I170" s="1"/>
      <c r="J170" s="2"/>
      <c r="K170" s="2"/>
      <c r="L170" s="21" t="s">
        <v>4</v>
      </c>
      <c r="M170" s="2"/>
      <c r="N170" s="2"/>
      <c r="O170" s="3"/>
      <c r="P170" s="2"/>
      <c r="Q170" s="2"/>
      <c r="R170" s="2"/>
      <c r="S170" s="21" t="s">
        <v>4</v>
      </c>
      <c r="T170" s="2"/>
      <c r="U170" s="2"/>
      <c r="V170" s="2"/>
      <c r="W170" s="2"/>
      <c r="X170" s="2"/>
      <c r="Y170" s="2"/>
      <c r="AA170" s="2"/>
      <c r="AB170" s="2"/>
      <c r="AC170" s="2"/>
    </row>
    <row r="171">
      <c r="I171" s="1"/>
      <c r="J171" s="2"/>
      <c r="K171" s="2"/>
      <c r="L171" s="21" t="s">
        <v>4</v>
      </c>
      <c r="M171" s="2"/>
      <c r="N171" s="2"/>
      <c r="O171" s="3"/>
      <c r="P171" s="2"/>
      <c r="Q171" s="2"/>
      <c r="R171" s="2"/>
      <c r="S171" s="21" t="s">
        <v>4</v>
      </c>
      <c r="T171" s="2"/>
      <c r="U171" s="2"/>
      <c r="V171" s="2"/>
      <c r="W171" s="2"/>
      <c r="X171" s="2"/>
      <c r="Y171" s="2"/>
      <c r="AA171" s="2"/>
      <c r="AB171" s="2"/>
      <c r="AC171" s="2"/>
    </row>
    <row r="172">
      <c r="B172" s="6" t="s">
        <v>2</v>
      </c>
      <c r="C172" s="7">
        <f t="array" ref="C172:G176">$J$12:$N$16</f>
        <v>0.08332859723</v>
      </c>
      <c r="D172" s="8">
        <v>0.6014811281828485</v>
      </c>
      <c r="E172" s="8">
        <v>1.7747655247078629</v>
      </c>
      <c r="F172" s="8">
        <v>2.5140316820295086</v>
      </c>
      <c r="G172" s="9">
        <v>1.968456459689384</v>
      </c>
      <c r="I172" s="6" t="s">
        <v>6</v>
      </c>
      <c r="J172" s="10">
        <f t="array" ref="J172:N176">MMULT(J165:N169,C172:G176)</f>
        <v>0.1748198395</v>
      </c>
      <c r="K172" s="10">
        <v>1.7999124360649905</v>
      </c>
      <c r="L172" s="10">
        <v>4.132405963562511</v>
      </c>
      <c r="M172" s="10">
        <v>6.275231764090648</v>
      </c>
      <c r="N172" s="10">
        <v>2.1555980110234176</v>
      </c>
      <c r="O172" s="3"/>
      <c r="P172" s="6" t="s">
        <v>11</v>
      </c>
      <c r="Q172" s="10">
        <f t="array" ref="Q172:U176">MMULT(Q165:U169,C172:G176)</f>
        <v>-0.3135851332</v>
      </c>
      <c r="R172" s="10">
        <v>-0.06973635245665488</v>
      </c>
      <c r="S172" s="10">
        <v>3.5264944649937684</v>
      </c>
      <c r="T172" s="10">
        <v>3.9252452143820347</v>
      </c>
      <c r="U172" s="10">
        <v>2.1077222730939007</v>
      </c>
      <c r="V172" s="2"/>
    </row>
    <row r="173">
      <c r="B173" s="6" t="s">
        <v>3</v>
      </c>
      <c r="C173" s="11">
        <v>-0.12628835250822928</v>
      </c>
      <c r="D173" s="10">
        <v>-1.1251681837560528</v>
      </c>
      <c r="E173" s="10">
        <v>0.6655394607294783</v>
      </c>
      <c r="F173" s="10">
        <v>0.9094515017955629</v>
      </c>
      <c r="G173" s="12">
        <v>-1.8718149699866216</v>
      </c>
      <c r="I173" s="1"/>
      <c r="J173" s="10">
        <v>0.1913621418054802</v>
      </c>
      <c r="K173" s="10">
        <v>-0.5304210601237261</v>
      </c>
      <c r="L173" s="10">
        <v>-2.994568415056732</v>
      </c>
      <c r="M173" s="10">
        <v>-4.224896585034857</v>
      </c>
      <c r="N173" s="10">
        <v>0.7523593192058667</v>
      </c>
      <c r="O173" s="3"/>
      <c r="P173" s="1"/>
      <c r="Q173" s="10">
        <v>-0.6772171601592967</v>
      </c>
      <c r="R173" s="10">
        <v>1.1010164592888851</v>
      </c>
      <c r="S173" s="10">
        <v>1.8095788740560756</v>
      </c>
      <c r="T173" s="10">
        <v>0.948532395262175</v>
      </c>
      <c r="U173" s="10">
        <v>1.2196705221076773</v>
      </c>
      <c r="V173" s="2"/>
    </row>
    <row r="174">
      <c r="B174" s="1"/>
      <c r="C174" s="11">
        <v>0.14562554314926865</v>
      </c>
      <c r="D174" s="10">
        <v>-0.7510483641409386</v>
      </c>
      <c r="E174" s="10">
        <v>-0.9436076064986235</v>
      </c>
      <c r="F174" s="10">
        <v>-1.0737562835030203</v>
      </c>
      <c r="G174" s="12">
        <v>-0.2327911300818983</v>
      </c>
      <c r="H174" s="21" t="s">
        <v>8</v>
      </c>
      <c r="I174" s="21"/>
      <c r="J174" s="10">
        <v>0.6004861658759333</v>
      </c>
      <c r="K174" s="10">
        <v>0.8308716973172071</v>
      </c>
      <c r="L174" s="10">
        <v>-4.015551934140899</v>
      </c>
      <c r="M174" s="10">
        <v>-3.560844378952919</v>
      </c>
      <c r="N174" s="10">
        <v>-3.345645490584236</v>
      </c>
      <c r="O174" s="3"/>
      <c r="P174" s="1"/>
      <c r="Q174" s="10">
        <v>-0.07707557642800147</v>
      </c>
      <c r="R174" s="10">
        <v>-2.8097973826441733</v>
      </c>
      <c r="S174" s="10">
        <v>1.6465565147489885</v>
      </c>
      <c r="T174" s="10">
        <v>2.0223508789709173</v>
      </c>
      <c r="U174" s="10">
        <v>-0.41059493645103445</v>
      </c>
      <c r="V174" s="2"/>
    </row>
    <row r="175">
      <c r="B175" s="1"/>
      <c r="C175" s="11">
        <v>0.1242374278008953</v>
      </c>
      <c r="D175" s="10">
        <v>-0.836610800512334</v>
      </c>
      <c r="E175" s="10">
        <v>0.8622424189521523</v>
      </c>
      <c r="F175" s="10">
        <v>1.144052817641033</v>
      </c>
      <c r="G175" s="12">
        <v>0.8220727180965955</v>
      </c>
      <c r="I175" s="1"/>
      <c r="J175" s="10">
        <v>-0.480958046658329</v>
      </c>
      <c r="K175" s="10">
        <v>-1.1521988540639825</v>
      </c>
      <c r="L175" s="10">
        <v>0.6901382591238492</v>
      </c>
      <c r="M175" s="10">
        <v>0.22397216094336625</v>
      </c>
      <c r="N175" s="10">
        <v>-2.811126572041279</v>
      </c>
      <c r="O175" s="3"/>
      <c r="P175" s="1"/>
      <c r="Q175" s="10">
        <v>-0.38555630687214715</v>
      </c>
      <c r="R175" s="10">
        <v>-0.0924011931671137</v>
      </c>
      <c r="S175" s="10">
        <v>1.0319974622434294</v>
      </c>
      <c r="T175" s="10">
        <v>0.483262738039108</v>
      </c>
      <c r="U175" s="10">
        <v>0.37688041055637433</v>
      </c>
      <c r="V175" s="2"/>
    </row>
    <row r="176">
      <c r="B176" s="1"/>
      <c r="C176" s="13">
        <v>0.7024054143034535</v>
      </c>
      <c r="D176" s="14">
        <v>1.157764600553636</v>
      </c>
      <c r="E176" s="14">
        <v>-0.5813737977522885</v>
      </c>
      <c r="F176" s="14">
        <v>1.066374716086232</v>
      </c>
      <c r="G176" s="15">
        <v>-0.22941327020344043</v>
      </c>
      <c r="I176" s="1"/>
      <c r="J176" s="10">
        <v>0.5016977552051195</v>
      </c>
      <c r="K176" s="10">
        <v>0.781269322632865</v>
      </c>
      <c r="L176" s="10">
        <v>-0.0036937730002819524</v>
      </c>
      <c r="M176" s="10">
        <v>1.5414486971255528</v>
      </c>
      <c r="N176" s="10">
        <v>-0.8655453878677829</v>
      </c>
      <c r="O176" s="3"/>
      <c r="P176" s="1"/>
      <c r="Q176" s="10">
        <v>0.030969266699699766</v>
      </c>
      <c r="R176" s="10">
        <v>-0.3137977351310261</v>
      </c>
      <c r="S176" s="10">
        <v>-0.867449528304241</v>
      </c>
      <c r="T176" s="10">
        <v>-1.5939772625222945</v>
      </c>
      <c r="U176" s="10">
        <v>1.3016692554019118</v>
      </c>
      <c r="V176" s="2"/>
    </row>
    <row r="177">
      <c r="N177" s="21" t="s">
        <v>4</v>
      </c>
      <c r="O177" s="3"/>
      <c r="R177" s="67" t="s">
        <v>4</v>
      </c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N178" s="21" t="s">
        <v>4</v>
      </c>
      <c r="O178" s="3"/>
      <c r="P178" s="2"/>
      <c r="Q178" s="2"/>
      <c r="R178" s="67" t="s">
        <v>4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B179" s="6"/>
      <c r="C179" s="21"/>
      <c r="D179" s="21"/>
      <c r="E179" s="21"/>
      <c r="F179" s="21"/>
      <c r="G179" s="21"/>
      <c r="I179" s="2"/>
      <c r="J179" s="2"/>
      <c r="K179" s="2"/>
      <c r="M179" s="68" t="s">
        <v>22</v>
      </c>
      <c r="N179" s="69">
        <f t="array" ref="N179:R183">MMULT(TRANSPOSE(Q172:U176),J172:N176) / 5^0.5</f>
        <v>-0.0132928993</v>
      </c>
      <c r="O179" s="70">
        <v>0.08907485058530301</v>
      </c>
      <c r="P179" s="71">
        <v>0.3467745522088682</v>
      </c>
      <c r="Q179" s="72">
        <v>0.5049895082660817</v>
      </c>
      <c r="R179" s="73">
        <v>0.05788540346601942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B180" s="6"/>
      <c r="C180" s="21"/>
      <c r="D180" s="21"/>
      <c r="E180" s="21"/>
      <c r="F180" s="21"/>
      <c r="G180" s="21"/>
      <c r="I180" s="2"/>
      <c r="J180" s="2"/>
      <c r="K180" s="2"/>
      <c r="M180" s="74"/>
      <c r="N180" s="75">
        <v>-0.7163169569848957</v>
      </c>
      <c r="O180" s="76">
        <v>-1.4233908777067967</v>
      </c>
      <c r="P180" s="77">
        <v>3.414488672993285</v>
      </c>
      <c r="Q180" s="78">
        <v>1.9729097695264004</v>
      </c>
      <c r="R180" s="79">
        <v>4.744927315412851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B181" s="6"/>
      <c r="C181" s="21"/>
      <c r="D181" s="21"/>
      <c r="E181" s="21"/>
      <c r="F181" s="21"/>
      <c r="G181" s="21"/>
      <c r="I181" s="2"/>
      <c r="J181" s="2"/>
      <c r="K181" s="2"/>
      <c r="M181" s="74"/>
      <c r="N181" s="80">
        <v>0.45614692377416843</v>
      </c>
      <c r="O181" s="81">
        <v>2.186356477103435</v>
      </c>
      <c r="P181" s="82">
        <v>1.456838944868599</v>
      </c>
      <c r="Q181" s="83">
        <v>3.360883836804761</v>
      </c>
      <c r="R181" s="84">
        <v>0.5832135109309436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B182" s="6"/>
      <c r="C182" s="21"/>
      <c r="D182" s="21"/>
      <c r="E182" s="21"/>
      <c r="F182" s="21"/>
      <c r="G182" s="21"/>
      <c r="I182" s="2"/>
      <c r="J182" s="2"/>
      <c r="K182" s="2"/>
      <c r="M182" s="42"/>
      <c r="N182" s="85">
        <v>0.46957147464106397</v>
      </c>
      <c r="O182" s="86">
        <v>2.880122599283906</v>
      </c>
      <c r="P182" s="87">
        <v>2.503865065162012</v>
      </c>
      <c r="Q182" s="72">
        <v>4.952576912042062</v>
      </c>
      <c r="R182" s="88">
        <v>1.0867137464744192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B183" s="6"/>
      <c r="C183" s="21"/>
      <c r="D183" s="21"/>
      <c r="E183" s="21"/>
      <c r="F183" s="21"/>
      <c r="G183" s="21"/>
      <c r="I183" s="2"/>
      <c r="J183" s="2"/>
      <c r="K183" s="2"/>
      <c r="M183" s="74"/>
      <c r="N183" s="89">
        <v>0.3698880085577116</v>
      </c>
      <c r="O183" s="90">
        <v>1.5153108055785502</v>
      </c>
      <c r="P183" s="91">
        <v>3.1133374072438205</v>
      </c>
      <c r="Q183" s="92">
        <v>5.199482225296647</v>
      </c>
      <c r="R183" s="93">
        <v>2.0789283736319946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B184" s="6"/>
      <c r="C184" s="21"/>
      <c r="D184" s="21"/>
      <c r="E184" s="21"/>
      <c r="F184" s="21"/>
      <c r="G184" s="21"/>
      <c r="I184" s="2"/>
      <c r="J184" s="2"/>
      <c r="K184" s="2"/>
      <c r="M184" s="74"/>
      <c r="N184" s="94"/>
      <c r="O184" s="95"/>
      <c r="P184" s="42" t="s">
        <v>4</v>
      </c>
      <c r="Q184" s="94"/>
      <c r="R184" s="94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B185" s="6"/>
      <c r="C185" s="21"/>
      <c r="D185" s="21"/>
      <c r="E185" s="21"/>
      <c r="F185" s="21"/>
      <c r="G185" s="21"/>
      <c r="I185" s="2"/>
      <c r="J185" s="2"/>
      <c r="K185" s="2"/>
      <c r="M185" s="74"/>
      <c r="N185" s="94"/>
      <c r="O185" s="95"/>
      <c r="P185" s="42" t="s">
        <v>4</v>
      </c>
      <c r="Q185" s="94"/>
      <c r="R185" s="94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D186" s="34" t="s">
        <v>28</v>
      </c>
      <c r="E186" s="49">
        <v>0.0</v>
      </c>
      <c r="F186" s="50">
        <v>-99.0</v>
      </c>
      <c r="G186" s="50">
        <v>-99.0</v>
      </c>
      <c r="H186" s="50">
        <v>-99.0</v>
      </c>
      <c r="I186" s="51">
        <v>-99.0</v>
      </c>
      <c r="J186" s="41"/>
      <c r="K186" s="41"/>
      <c r="M186" s="34" t="s">
        <v>37</v>
      </c>
      <c r="N186" s="96">
        <f t="shared" ref="N186:R186" si="36">EXP(N179+E186)/SUMPRODUCT(EXP($N179:$R179+$E186:$I186))
</f>
        <v>1</v>
      </c>
      <c r="O186" s="96">
        <f t="shared" si="36"/>
        <v>0</v>
      </c>
      <c r="P186" s="96">
        <f t="shared" si="36"/>
        <v>0</v>
      </c>
      <c r="Q186" s="96">
        <f t="shared" si="36"/>
        <v>0</v>
      </c>
      <c r="R186" s="96">
        <f t="shared" si="36"/>
        <v>0</v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D187" s="34" t="s">
        <v>31</v>
      </c>
      <c r="E187" s="55">
        <v>0.0</v>
      </c>
      <c r="F187" s="56">
        <v>0.0</v>
      </c>
      <c r="G187" s="57">
        <v>-99.0</v>
      </c>
      <c r="H187" s="57">
        <v>-99.0</v>
      </c>
      <c r="I187" s="58">
        <v>-99.0</v>
      </c>
      <c r="J187" s="41"/>
      <c r="K187" s="41"/>
      <c r="M187" s="34" t="s">
        <v>35</v>
      </c>
      <c r="N187" s="96">
        <f t="shared" ref="N187:R187" si="37">EXP(N180+E187)/SUMPRODUCT(EXP($N180:$R180+$E187:$I187))
</f>
        <v>0.6697542812</v>
      </c>
      <c r="O187" s="96">
        <f t="shared" si="37"/>
        <v>0.3302457188</v>
      </c>
      <c r="P187" s="96">
        <f t="shared" si="37"/>
        <v>0</v>
      </c>
      <c r="Q187" s="96">
        <f t="shared" si="37"/>
        <v>0</v>
      </c>
      <c r="R187" s="96">
        <f t="shared" si="37"/>
        <v>0</v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D188" s="1"/>
      <c r="E188" s="55">
        <v>0.0</v>
      </c>
      <c r="F188" s="56">
        <v>0.0</v>
      </c>
      <c r="G188" s="56">
        <v>0.0</v>
      </c>
      <c r="H188" s="57">
        <v>-99.0</v>
      </c>
      <c r="I188" s="58">
        <v>-99.0</v>
      </c>
      <c r="J188" s="67" t="s">
        <v>8</v>
      </c>
      <c r="K188" s="67" t="s">
        <v>8</v>
      </c>
      <c r="L188" s="67" t="s">
        <v>8</v>
      </c>
      <c r="M188" s="67" t="s">
        <v>8</v>
      </c>
      <c r="N188" s="96">
        <f t="shared" ref="N188:R188" si="38">EXP(N181+E188)/SUMPRODUCT(EXP($N181:$R181+$E188:$I188))
</f>
        <v>0.1068147873</v>
      </c>
      <c r="O188" s="96">
        <f t="shared" si="38"/>
        <v>0.6026315177</v>
      </c>
      <c r="P188" s="96">
        <f t="shared" si="38"/>
        <v>0.290553695</v>
      </c>
      <c r="Q188" s="96">
        <f t="shared" si="38"/>
        <v>0</v>
      </c>
      <c r="R188" s="96">
        <f t="shared" si="38"/>
        <v>0</v>
      </c>
      <c r="S188" s="2"/>
      <c r="T188" s="2"/>
      <c r="U188" s="2"/>
      <c r="V188" s="21"/>
      <c r="W188" s="2"/>
      <c r="X188" s="2"/>
      <c r="Y188" s="2"/>
      <c r="Z188" s="2"/>
      <c r="AA188" s="2"/>
      <c r="AB188" s="2"/>
      <c r="AC188" s="2"/>
    </row>
    <row r="189">
      <c r="D189" s="1"/>
      <c r="E189" s="55">
        <v>0.0</v>
      </c>
      <c r="F189" s="56">
        <v>0.0</v>
      </c>
      <c r="G189" s="56">
        <v>0.0</v>
      </c>
      <c r="H189" s="56">
        <v>0.0</v>
      </c>
      <c r="I189" s="58">
        <v>-99.0</v>
      </c>
      <c r="J189" s="2"/>
      <c r="K189" s="2"/>
      <c r="M189" s="94"/>
      <c r="N189" s="96">
        <f t="shared" ref="N189:R189" si="39">EXP(N182+E189)/SUMPRODUCT(EXP($N182:$R182+$E189:$I189))
</f>
        <v>0.009234701554</v>
      </c>
      <c r="O189" s="96">
        <f t="shared" si="39"/>
        <v>0.1028754899</v>
      </c>
      <c r="P189" s="96">
        <f t="shared" si="39"/>
        <v>0.0706163629</v>
      </c>
      <c r="Q189" s="96">
        <f t="shared" si="39"/>
        <v>0.8172734457</v>
      </c>
      <c r="R189" s="96">
        <f t="shared" si="39"/>
        <v>0</v>
      </c>
      <c r="S189" s="2"/>
      <c r="T189" s="2"/>
      <c r="U189" s="21"/>
      <c r="V189" s="2"/>
      <c r="W189" s="2"/>
      <c r="X189" s="2"/>
      <c r="Y189" s="2"/>
      <c r="Z189" s="2"/>
      <c r="AA189" s="2"/>
      <c r="AB189" s="2"/>
      <c r="AC189" s="2"/>
    </row>
    <row r="190">
      <c r="D190" s="1"/>
      <c r="E190" s="62">
        <v>0.0</v>
      </c>
      <c r="F190" s="63">
        <v>0.0</v>
      </c>
      <c r="G190" s="63">
        <v>0.0</v>
      </c>
      <c r="H190" s="63">
        <v>0.0</v>
      </c>
      <c r="I190" s="64">
        <v>0.0</v>
      </c>
      <c r="J190" s="2"/>
      <c r="K190" s="2"/>
      <c r="M190" s="41"/>
      <c r="N190" s="96">
        <f t="shared" ref="N190:R190" si="40">EXP(N183+E190)/SUMPRODUCT(EXP($N183:$R183+$E190:$I190))
</f>
        <v>0.006650347199</v>
      </c>
      <c r="O190" s="96">
        <f t="shared" si="40"/>
        <v>0.0209071637</v>
      </c>
      <c r="P190" s="96">
        <f t="shared" si="40"/>
        <v>0.1033497082</v>
      </c>
      <c r="Q190" s="96">
        <f t="shared" si="40"/>
        <v>0.8323585358</v>
      </c>
      <c r="R190" s="96">
        <f t="shared" si="40"/>
        <v>0.03673424509</v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M191" s="41"/>
      <c r="N191" s="41"/>
      <c r="O191" s="97"/>
      <c r="P191" s="41"/>
      <c r="Q191" s="98" t="s">
        <v>4</v>
      </c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M192" s="41"/>
      <c r="N192" s="41"/>
      <c r="O192" s="97"/>
      <c r="P192" s="41"/>
      <c r="Q192" s="98" t="s">
        <v>4</v>
      </c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</row>
    <row r="193">
      <c r="B193" s="6" t="s">
        <v>14</v>
      </c>
      <c r="C193" s="7">
        <f t="array" ref="C193:G197">$C$49:$G$53</f>
        <v>0.1749051085</v>
      </c>
      <c r="D193" s="8">
        <v>0.6017472566864276</v>
      </c>
      <c r="E193" s="8">
        <v>-1.8151759015448037</v>
      </c>
      <c r="F193" s="8">
        <v>-0.04529971631994421</v>
      </c>
      <c r="G193" s="9">
        <v>0.9989031156748962</v>
      </c>
      <c r="H193" s="6" t="s">
        <v>15</v>
      </c>
      <c r="I193" s="10">
        <f t="array" ref="I193:M197">MMULT(C193:G197,C172:G176)</f>
        <v>0.3702519877</v>
      </c>
      <c r="J193" s="10">
        <v>1.9858130442454094</v>
      </c>
      <c r="K193" s="10">
        <v>1.8039204543317038</v>
      </c>
      <c r="L193" s="10">
        <v>3.949413218716684</v>
      </c>
      <c r="M193" s="10">
        <v>-0.6259108743847073</v>
      </c>
      <c r="O193" s="99" t="s">
        <v>38</v>
      </c>
      <c r="P193" s="10">
        <f t="array" ref="P193:T197">MMULT(I193:M197,N186:R190)</f>
        <v>1.925253283</v>
      </c>
      <c r="Q193" s="10">
        <v>2.1361173758875114</v>
      </c>
      <c r="R193" s="10">
        <v>0.738341244474284</v>
      </c>
      <c r="S193" s="10">
        <v>2.7067682906307695</v>
      </c>
      <c r="T193" s="10">
        <v>-0.022992363467022693</v>
      </c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B194" s="2"/>
      <c r="C194" s="11">
        <v>-0.7311590887766503</v>
      </c>
      <c r="D194" s="10">
        <v>1.1380650507133832</v>
      </c>
      <c r="E194" s="10">
        <v>0.4205127850705505</v>
      </c>
      <c r="F194" s="10">
        <v>0.12783950210618955</v>
      </c>
      <c r="G194" s="12">
        <v>0.3204998064945621</v>
      </c>
      <c r="H194" s="1"/>
      <c r="I194" s="10">
        <v>0.09758983148208986</v>
      </c>
      <c r="J194" s="10">
        <v>-1.7720069967839904</v>
      </c>
      <c r="K194" s="10">
        <v>-1.013109354480193</v>
      </c>
      <c r="L194" s="10">
        <v>-0.7666423567921097</v>
      </c>
      <c r="M194" s="10">
        <v>-3.635827218288292</v>
      </c>
      <c r="O194" s="99" t="s">
        <v>39</v>
      </c>
      <c r="P194" s="10">
        <v>-1.2286937278159678</v>
      </c>
      <c r="Q194" s="10">
        <v>-1.3506128950956926</v>
      </c>
      <c r="R194" s="10">
        <v>-0.7242618432921746</v>
      </c>
      <c r="S194" s="10">
        <v>-3.652868260500443</v>
      </c>
      <c r="T194" s="10">
        <v>-0.13355936815821673</v>
      </c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B195" s="2"/>
      <c r="C195" s="11">
        <v>1.5546132248103544</v>
      </c>
      <c r="D195" s="10">
        <v>-0.2628070636114019</v>
      </c>
      <c r="E195" s="10">
        <v>2.550731676142416</v>
      </c>
      <c r="F195" s="10">
        <v>1.0075270888922152</v>
      </c>
      <c r="G195" s="12">
        <v>0.6425955364544543</v>
      </c>
      <c r="H195" s="67" t="s">
        <v>8</v>
      </c>
      <c r="I195" s="10">
        <v>1.1107200540957114</v>
      </c>
      <c r="J195" s="10">
        <v>-0.7838838697356622</v>
      </c>
      <c r="K195" s="10">
        <v>0.6724200593505825</v>
      </c>
      <c r="L195" s="10">
        <v>2.768384294645017</v>
      </c>
      <c r="M195" s="10">
        <v>3.6391675202430704</v>
      </c>
      <c r="N195" s="67" t="s">
        <v>8</v>
      </c>
      <c r="O195" s="97" t="s">
        <v>8</v>
      </c>
      <c r="P195" s="10">
        <v>0.7073018122838334</v>
      </c>
      <c r="Q195" s="10">
        <v>0.5072307903883968</v>
      </c>
      <c r="R195" s="10">
        <v>0.7669742640800257</v>
      </c>
      <c r="S195" s="10">
        <v>5.291619120217549</v>
      </c>
      <c r="T195" s="10">
        <v>0.13368207162891352</v>
      </c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B196" s="2"/>
      <c r="C196" s="11">
        <v>-0.44928733787028924</v>
      </c>
      <c r="D196" s="10">
        <v>0.6442590666264992</v>
      </c>
      <c r="E196" s="10">
        <v>-0.35260787067670146</v>
      </c>
      <c r="F196" s="10">
        <v>1.1513686762753217</v>
      </c>
      <c r="G196" s="12">
        <v>0.6769866986883526</v>
      </c>
      <c r="H196" s="1"/>
      <c r="I196" s="10">
        <v>0.44841259294346936</v>
      </c>
      <c r="J196" s="10">
        <v>-0.90976832942652</v>
      </c>
      <c r="K196" s="10">
        <v>0.5633002072076722</v>
      </c>
      <c r="L196" s="10">
        <v>1.8741627675443584</v>
      </c>
      <c r="M196" s="10">
        <v>-1.2170532984512994</v>
      </c>
      <c r="O196" s="3"/>
      <c r="P196" s="10">
        <v>-0.09152634192380694</v>
      </c>
      <c r="Q196" s="10">
        <v>0.20637564314469922</v>
      </c>
      <c r="R196" s="10">
        <v>0.170233411531217</v>
      </c>
      <c r="S196" s="10">
        <v>0.5186787612240717</v>
      </c>
      <c r="T196" s="10">
        <v>-0.044707534158500345</v>
      </c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B197" s="2"/>
      <c r="C197" s="13">
        <v>0.38148661062891887</v>
      </c>
      <c r="D197" s="14">
        <v>-1.5651465608895778</v>
      </c>
      <c r="E197" s="14">
        <v>-1.5452186106460883</v>
      </c>
      <c r="F197" s="14">
        <v>-1.3153762420570148</v>
      </c>
      <c r="G197" s="15">
        <v>0.8339358171405349</v>
      </c>
      <c r="H197" s="1"/>
      <c r="I197" s="10">
        <v>0.4267672975130138</v>
      </c>
      <c r="J197" s="10">
        <v>5.217003359003076</v>
      </c>
      <c r="K197" s="10">
        <v>-0.5255391045823893</v>
      </c>
      <c r="L197" s="10">
        <v>0.5792609018809911</v>
      </c>
      <c r="M197" s="10">
        <v>2.767666866892094</v>
      </c>
      <c r="O197" s="3"/>
      <c r="P197" s="10">
        <v>3.888497531586373</v>
      </c>
      <c r="Q197" s="10">
        <v>1.5236424095159828</v>
      </c>
      <c r="R197" s="10">
        <v>0.17424553234450757</v>
      </c>
      <c r="S197" s="10">
        <v>2.7771056942313064</v>
      </c>
      <c r="T197" s="10">
        <v>0.10166815302861547</v>
      </c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4" t="s">
        <v>40</v>
      </c>
      <c r="AA199" s="4"/>
      <c r="AB199" s="4"/>
      <c r="AC199" s="4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B201" s="1"/>
      <c r="C201" s="2"/>
      <c r="D201" s="2"/>
      <c r="E201" s="2"/>
      <c r="F201" s="2"/>
      <c r="G201" s="2"/>
      <c r="H201" s="2"/>
      <c r="L201" s="6" t="s">
        <v>2</v>
      </c>
      <c r="M201" s="7">
        <f t="array" ref="M201:Q205">$J$12:$N$16</f>
        <v>0.08332859723</v>
      </c>
      <c r="N201" s="8">
        <v>0.6014811281828485</v>
      </c>
      <c r="O201" s="8">
        <v>1.7747655247078629</v>
      </c>
      <c r="P201" s="8">
        <v>2.5140316820295086</v>
      </c>
      <c r="Q201" s="9">
        <v>1.968456459689384</v>
      </c>
      <c r="U201" s="2"/>
      <c r="X201" s="34" t="s">
        <v>28</v>
      </c>
      <c r="Y201" s="49">
        <v>0.0</v>
      </c>
      <c r="Z201" s="50">
        <v>-99.0</v>
      </c>
      <c r="AA201" s="50">
        <v>-99.0</v>
      </c>
      <c r="AB201" s="50">
        <v>-99.0</v>
      </c>
      <c r="AC201" s="51">
        <v>-99.0</v>
      </c>
    </row>
    <row r="202">
      <c r="B202" s="1"/>
      <c r="C202" s="2"/>
      <c r="D202" s="2"/>
      <c r="E202" s="2"/>
      <c r="F202" s="2"/>
      <c r="G202" s="2"/>
      <c r="H202" s="2"/>
      <c r="L202" s="6" t="s">
        <v>3</v>
      </c>
      <c r="M202" s="11">
        <v>-0.12628835250822928</v>
      </c>
      <c r="N202" s="10">
        <v>-1.1251681837560528</v>
      </c>
      <c r="O202" s="10">
        <v>0.6655394607294783</v>
      </c>
      <c r="P202" s="10">
        <v>0.9094515017955629</v>
      </c>
      <c r="Q202" s="12">
        <v>-1.8718149699866216</v>
      </c>
      <c r="U202" s="2"/>
      <c r="X202" s="34" t="s">
        <v>31</v>
      </c>
      <c r="Y202" s="55">
        <v>0.0</v>
      </c>
      <c r="Z202" s="56">
        <v>0.0</v>
      </c>
      <c r="AA202" s="57">
        <v>-99.0</v>
      </c>
      <c r="AB202" s="57">
        <v>-99.0</v>
      </c>
      <c r="AC202" s="58">
        <v>-99.0</v>
      </c>
    </row>
    <row r="203">
      <c r="B203" s="1"/>
      <c r="C203" s="2"/>
      <c r="D203" s="2"/>
      <c r="E203" s="2"/>
      <c r="F203" s="2"/>
      <c r="G203" s="2"/>
      <c r="H203" s="2"/>
      <c r="I203" s="100" t="s">
        <v>41</v>
      </c>
      <c r="J203" s="100" t="s">
        <v>41</v>
      </c>
      <c r="K203" s="100" t="s">
        <v>41</v>
      </c>
      <c r="L203" s="100" t="s">
        <v>41</v>
      </c>
      <c r="M203" s="11">
        <v>0.14562554314926865</v>
      </c>
      <c r="N203" s="10">
        <v>-0.7510483641409386</v>
      </c>
      <c r="O203" s="10">
        <v>-0.9436076064986235</v>
      </c>
      <c r="P203" s="10">
        <v>-1.0737562835030203</v>
      </c>
      <c r="Q203" s="12">
        <v>-0.2327911300818983</v>
      </c>
      <c r="R203" s="101" t="s">
        <v>8</v>
      </c>
      <c r="S203" s="101" t="s">
        <v>8</v>
      </c>
      <c r="T203" s="101" t="s">
        <v>8</v>
      </c>
      <c r="U203" s="101" t="s">
        <v>8</v>
      </c>
      <c r="X203" s="41"/>
      <c r="Y203" s="55">
        <v>0.0</v>
      </c>
      <c r="Z203" s="56">
        <v>0.0</v>
      </c>
      <c r="AA203" s="56">
        <v>0.0</v>
      </c>
      <c r="AB203" s="57">
        <v>-99.0</v>
      </c>
      <c r="AC203" s="58">
        <v>-99.0</v>
      </c>
    </row>
    <row r="204">
      <c r="B204" s="1"/>
      <c r="C204" s="2"/>
      <c r="D204" s="2"/>
      <c r="E204" s="2"/>
      <c r="F204" s="2"/>
      <c r="G204" s="2"/>
      <c r="H204" s="2"/>
      <c r="I204" s="21" t="s">
        <v>4</v>
      </c>
      <c r="L204" s="1"/>
      <c r="M204" s="11">
        <v>0.1242374278008953</v>
      </c>
      <c r="N204" s="10">
        <v>-0.836610800512334</v>
      </c>
      <c r="O204" s="10">
        <v>0.8622424189521523</v>
      </c>
      <c r="P204" s="10">
        <v>1.144052817641033</v>
      </c>
      <c r="Q204" s="12">
        <v>0.8220727180965955</v>
      </c>
      <c r="U204" s="21" t="s">
        <v>4</v>
      </c>
      <c r="X204" s="41"/>
      <c r="Y204" s="55">
        <v>0.0</v>
      </c>
      <c r="Z204" s="56">
        <v>0.0</v>
      </c>
      <c r="AA204" s="56">
        <v>0.0</v>
      </c>
      <c r="AB204" s="56">
        <v>0.0</v>
      </c>
      <c r="AC204" s="58">
        <v>-99.0</v>
      </c>
    </row>
    <row r="205">
      <c r="B205" s="1"/>
      <c r="C205" s="2"/>
      <c r="D205" s="2"/>
      <c r="E205" s="2"/>
      <c r="F205" s="2"/>
      <c r="G205" s="2"/>
      <c r="H205" s="2"/>
      <c r="I205" s="21" t="s">
        <v>4</v>
      </c>
      <c r="L205" s="1"/>
      <c r="M205" s="13">
        <v>0.7024054143034535</v>
      </c>
      <c r="N205" s="14">
        <v>1.157764600553636</v>
      </c>
      <c r="O205" s="14">
        <v>-0.5813737977522885</v>
      </c>
      <c r="P205" s="14">
        <v>1.066374716086232</v>
      </c>
      <c r="Q205" s="15">
        <v>-0.22941327020344043</v>
      </c>
      <c r="U205" s="21" t="s">
        <v>4</v>
      </c>
      <c r="X205" s="41"/>
      <c r="Y205" s="62">
        <v>0.0</v>
      </c>
      <c r="Z205" s="63">
        <v>0.0</v>
      </c>
      <c r="AA205" s="63">
        <v>0.0</v>
      </c>
      <c r="AB205" s="63">
        <v>0.0</v>
      </c>
      <c r="AC205" s="64">
        <v>0.0</v>
      </c>
    </row>
    <row r="206">
      <c r="B206" s="1"/>
      <c r="C206" s="2"/>
      <c r="D206" s="2"/>
      <c r="E206" s="2"/>
      <c r="F206" s="2"/>
      <c r="G206" s="2"/>
      <c r="H206" s="2"/>
      <c r="I206" s="21" t="s">
        <v>4</v>
      </c>
      <c r="J206" s="2"/>
      <c r="K206" s="2"/>
      <c r="L206" s="2"/>
      <c r="M206" s="2"/>
      <c r="N206" s="2"/>
      <c r="O206" s="3"/>
      <c r="P206" s="2"/>
      <c r="Q206" s="2"/>
      <c r="R206" s="2"/>
      <c r="S206" s="2"/>
      <c r="T206" s="2"/>
      <c r="U206" s="21" t="s">
        <v>4</v>
      </c>
      <c r="V206" s="2"/>
      <c r="W206" s="2"/>
      <c r="X206" s="2"/>
      <c r="Y206" s="2"/>
      <c r="Z206" s="2"/>
      <c r="AA206" s="2"/>
      <c r="AB206" s="2"/>
      <c r="AC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0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B208" s="66" t="s">
        <v>42</v>
      </c>
      <c r="C208" s="103">
        <f t="shared" ref="C208:G208" si="41">NORMINV(rand(),0, 1)</f>
        <v>-0.6632659983</v>
      </c>
      <c r="D208" s="104">
        <f t="shared" si="41"/>
        <v>-0.3672064511</v>
      </c>
      <c r="E208" s="104">
        <f t="shared" si="41"/>
        <v>-0.1536856395</v>
      </c>
      <c r="F208" s="104">
        <f t="shared" si="41"/>
        <v>-0.3614330543</v>
      </c>
      <c r="G208" s="105">
        <f t="shared" si="41"/>
        <v>0.1769449664</v>
      </c>
      <c r="H208" s="2"/>
      <c r="I208" s="66" t="s">
        <v>43</v>
      </c>
      <c r="J208" s="106">
        <f t="array" ref="J208:N212">MMULT(C208:G212,$M$201:$Q$205)</f>
        <v>0.04810790722</v>
      </c>
      <c r="K208" s="107">
        <v>0.6368917980539477</v>
      </c>
      <c r="L208" s="107">
        <v>-1.6910271506820818</v>
      </c>
      <c r="M208" s="107">
        <v>-2.061216136632841</v>
      </c>
      <c r="N208" s="108">
        <v>-0.9202088295718481</v>
      </c>
      <c r="O208" s="102"/>
      <c r="P208" s="2"/>
      <c r="Q208" s="66" t="s">
        <v>44</v>
      </c>
      <c r="R208" s="103">
        <f t="shared" ref="R208:V208" si="42">NORMINV(rand(),0, 1)</f>
        <v>-1.659947774</v>
      </c>
      <c r="S208" s="104">
        <f t="shared" si="42"/>
        <v>-0.540831499</v>
      </c>
      <c r="T208" s="104">
        <f t="shared" si="42"/>
        <v>0.4238263952</v>
      </c>
      <c r="U208" s="104">
        <f t="shared" si="42"/>
        <v>-1.12773501</v>
      </c>
      <c r="V208" s="105">
        <f t="shared" si="42"/>
        <v>0.5318538787</v>
      </c>
      <c r="W208" s="2"/>
      <c r="X208" s="66" t="s">
        <v>45</v>
      </c>
      <c r="Y208" s="106">
        <f t="array" ref="Y208:AC212">MMULT(R208:V212,$M$201:$Q$205)</f>
        <v>0.2251696957</v>
      </c>
      <c r="Z208" s="107">
        <v>0.8510218973241362</v>
      </c>
      <c r="AA208" s="107">
        <v>-4.987475468765738</v>
      </c>
      <c r="AB208" s="107">
        <v>-5.843140455023132</v>
      </c>
      <c r="AC208" s="108">
        <v>-3.402955970396911</v>
      </c>
    </row>
    <row r="209">
      <c r="B209" s="66" t="s">
        <v>7</v>
      </c>
      <c r="C209" s="110">
        <f t="shared" ref="C209:G209" si="43">NORMINV(rand(),0, 1)</f>
        <v>-0.6409205316</v>
      </c>
      <c r="D209" s="85">
        <f t="shared" si="43"/>
        <v>-0.8340105993</v>
      </c>
      <c r="E209" s="85">
        <f t="shared" si="43"/>
        <v>1.964344508</v>
      </c>
      <c r="F209" s="85">
        <f t="shared" si="43"/>
        <v>0.9555596935</v>
      </c>
      <c r="G209" s="111">
        <f t="shared" si="43"/>
        <v>0.3883068339</v>
      </c>
      <c r="H209" s="2"/>
      <c r="I209" s="2"/>
      <c r="J209" s="112">
        <v>0.7294426525710194</v>
      </c>
      <c r="K209" s="109">
        <v>-1.2722807962975335</v>
      </c>
      <c r="L209" s="109">
        <v>-2.9479483646621047</v>
      </c>
      <c r="M209" s="109">
        <v>-2.971722623042269</v>
      </c>
      <c r="N209" s="113">
        <v>0.5386642003058999</v>
      </c>
      <c r="O209" s="102"/>
      <c r="P209" s="2"/>
      <c r="Q209" s="66" t="s">
        <v>7</v>
      </c>
      <c r="R209" s="110">
        <f t="shared" ref="R209:V209" si="44">NORMINV(rand(),0, 1)</f>
        <v>-0.941441042</v>
      </c>
      <c r="S209" s="85">
        <f t="shared" si="44"/>
        <v>0.6887790515</v>
      </c>
      <c r="T209" s="85">
        <f t="shared" si="44"/>
        <v>-0.7214962824</v>
      </c>
      <c r="U209" s="85">
        <f t="shared" si="44"/>
        <v>1.083132531</v>
      </c>
      <c r="V209" s="111">
        <f t="shared" si="44"/>
        <v>0.570904337</v>
      </c>
      <c r="W209" s="2"/>
      <c r="X209" s="2"/>
      <c r="Y209" s="112">
        <v>0.26506987590023406</v>
      </c>
      <c r="Z209" s="109">
        <v>-1.044560234033928</v>
      </c>
      <c r="AA209" s="109">
        <v>0.07039590485429553</v>
      </c>
      <c r="AB209" s="109">
        <v>0.8822684775398332</v>
      </c>
      <c r="AC209" s="113">
        <v>-2.2150540323249044</v>
      </c>
    </row>
    <row r="210">
      <c r="B210" s="41"/>
      <c r="C210" s="110">
        <f t="shared" ref="C210:G210" si="45">NORMINV(rand(),0, 1)</f>
        <v>-1.257560901</v>
      </c>
      <c r="D210" s="85">
        <f t="shared" si="45"/>
        <v>0.7568686392</v>
      </c>
      <c r="E210" s="85">
        <f t="shared" si="45"/>
        <v>-1.841478387</v>
      </c>
      <c r="F210" s="85">
        <f t="shared" si="45"/>
        <v>0.9519381213</v>
      </c>
      <c r="G210" s="111">
        <f t="shared" si="45"/>
        <v>-1.522313544</v>
      </c>
      <c r="H210" s="67" t="s">
        <v>8</v>
      </c>
      <c r="I210" s="67" t="s">
        <v>8</v>
      </c>
      <c r="J210" s="112">
        <v>-1.4195557013370577</v>
      </c>
      <c r="K210" s="109">
        <v>-2.7838467770361097</v>
      </c>
      <c r="L210" s="109">
        <v>1.7153178614140727</v>
      </c>
      <c r="M210" s="109">
        <v>-1.0302028207653529</v>
      </c>
      <c r="N210" s="113">
        <v>-2.3316908061975745</v>
      </c>
      <c r="O210" s="102"/>
      <c r="P210" s="2"/>
      <c r="Q210" s="41"/>
      <c r="R210" s="110">
        <f t="shared" ref="R210:V210" si="46">NORMINV(rand(),0, 1)</f>
        <v>-1.725709357</v>
      </c>
      <c r="S210" s="85">
        <f t="shared" si="46"/>
        <v>0.6649558411</v>
      </c>
      <c r="T210" s="85">
        <f t="shared" si="46"/>
        <v>-1.068840626</v>
      </c>
      <c r="U210" s="85">
        <f t="shared" si="46"/>
        <v>0.4725746632</v>
      </c>
      <c r="V210" s="111">
        <f t="shared" si="46"/>
        <v>0.08539207147</v>
      </c>
      <c r="W210" s="67" t="s">
        <v>8</v>
      </c>
      <c r="X210" s="67" t="s">
        <v>8</v>
      </c>
      <c r="Y210" s="112">
        <v>-0.2647363003188992</v>
      </c>
      <c r="Z210" s="109">
        <v>-1.279914913316361</v>
      </c>
      <c r="AA210" s="109">
        <v>-1.2537797682543652</v>
      </c>
      <c r="AB210" s="109">
        <v>-1.9543582503628367</v>
      </c>
      <c r="AC210" s="113">
        <v>-4.023940748470655</v>
      </c>
    </row>
    <row r="211">
      <c r="B211" s="41"/>
      <c r="C211" s="110">
        <f t="shared" ref="C211:G211" si="47">NORMINV(rand(),0, 1)</f>
        <v>2.965457045</v>
      </c>
      <c r="D211" s="85">
        <f t="shared" si="47"/>
        <v>-0.09860214732</v>
      </c>
      <c r="E211" s="85">
        <f t="shared" si="47"/>
        <v>0.334876518</v>
      </c>
      <c r="F211" s="85">
        <f t="shared" si="47"/>
        <v>-0.9808119917</v>
      </c>
      <c r="G211" s="111">
        <f t="shared" si="47"/>
        <v>-0.07603073628</v>
      </c>
      <c r="H211" s="2"/>
      <c r="I211" s="2"/>
      <c r="J211" s="112">
        <v>0.13306829348362495</v>
      </c>
      <c r="K211" s="109">
        <v>2.375634197758662</v>
      </c>
      <c r="L211" s="109">
        <v>4.0798798532152425</v>
      </c>
      <c r="M211" s="109">
        <v>5.802825349954871</v>
      </c>
      <c r="N211" s="113">
        <v>5.155125449197102</v>
      </c>
      <c r="O211" s="102"/>
      <c r="P211" s="2"/>
      <c r="Q211" s="41"/>
      <c r="R211" s="110">
        <f t="shared" ref="R211:V211" si="48">NORMINV(rand(),0, 1)</f>
        <v>1.73281615</v>
      </c>
      <c r="S211" s="85">
        <f t="shared" si="48"/>
        <v>0.4558609211</v>
      </c>
      <c r="T211" s="85">
        <f t="shared" si="48"/>
        <v>2.141666164</v>
      </c>
      <c r="U211" s="85">
        <f t="shared" si="48"/>
        <v>-0.1225028128</v>
      </c>
      <c r="V211" s="111">
        <f t="shared" si="48"/>
        <v>2.157606457</v>
      </c>
      <c r="W211" s="2"/>
      <c r="X211" s="2"/>
      <c r="Y211" s="112">
        <v>1.8989995356395797</v>
      </c>
      <c r="Z211" s="109">
        <v>1.521328693400164</v>
      </c>
      <c r="AA211" s="109">
        <v>-0.0021596687575506923</v>
      </c>
      <c r="AB211" s="109">
        <v>4.631977884174428</v>
      </c>
      <c r="AC211" s="113">
        <v>1.4634351879703333</v>
      </c>
    </row>
    <row r="212">
      <c r="B212" s="41"/>
      <c r="C212" s="114">
        <f t="shared" ref="C212:G212" si="49">NORMINV(rand(),0, 1)</f>
        <v>-1.071978042</v>
      </c>
      <c r="D212" s="115">
        <f t="shared" si="49"/>
        <v>1.308307781</v>
      </c>
      <c r="E212" s="115">
        <f t="shared" si="49"/>
        <v>-0.6743504139</v>
      </c>
      <c r="F212" s="115">
        <f t="shared" si="49"/>
        <v>0.2563008368</v>
      </c>
      <c r="G212" s="116">
        <f t="shared" si="49"/>
        <v>0.5844019203</v>
      </c>
      <c r="H212" s="2"/>
      <c r="J212" s="117">
        <v>0.0895761236941745</v>
      </c>
      <c r="K212" s="118">
        <v>-1.148195268341127</v>
      </c>
      <c r="L212" s="118">
        <v>-0.5142195471285373</v>
      </c>
      <c r="M212" s="118">
        <v>0.13535683725388165</v>
      </c>
      <c r="N212" s="119">
        <v>-4.3254410249814</v>
      </c>
      <c r="O212" s="102"/>
      <c r="P212" s="2"/>
      <c r="Q212" s="41"/>
      <c r="R212" s="114">
        <f t="shared" ref="R212:V212" si="50">NORMINV(rand(),0, 1)</f>
        <v>1.427173071</v>
      </c>
      <c r="S212" s="115">
        <f t="shared" si="50"/>
        <v>-0.4257097481</v>
      </c>
      <c r="T212" s="115">
        <f t="shared" si="50"/>
        <v>0.1504029731</v>
      </c>
      <c r="U212" s="115">
        <f t="shared" si="50"/>
        <v>0.0761695014</v>
      </c>
      <c r="V212" s="116">
        <f t="shared" si="50"/>
        <v>-0.8756459104</v>
      </c>
      <c r="W212" s="2"/>
      <c r="Y212" s="117">
        <v>-0.41100629815327294</v>
      </c>
      <c r="Z212" s="118">
        <v>0.1469367605469949</v>
      </c>
      <c r="AA212" s="118">
        <v>2.682403701354466</v>
      </c>
      <c r="AB212" s="118">
        <v>2.192675081671839</v>
      </c>
      <c r="AC212" s="119">
        <v>3.8346671120141567</v>
      </c>
    </row>
    <row r="213">
      <c r="B213" s="1"/>
      <c r="C213" s="2"/>
      <c r="D213" s="2"/>
      <c r="E213" s="2"/>
      <c r="F213" s="2"/>
      <c r="G213" s="2"/>
      <c r="H213" s="2"/>
      <c r="O213" s="102"/>
      <c r="P213" s="2"/>
      <c r="Q213" s="1"/>
      <c r="R213" s="2"/>
      <c r="S213" s="2"/>
      <c r="T213" s="2"/>
      <c r="U213" s="2"/>
      <c r="V213" s="2"/>
      <c r="W213" s="2"/>
    </row>
    <row r="214">
      <c r="B214" s="66" t="s">
        <v>46</v>
      </c>
      <c r="C214" s="103">
        <f t="shared" ref="C214:G214" si="51">NORMINV(rand(),0, 1)</f>
        <v>-0.4185456767</v>
      </c>
      <c r="D214" s="104">
        <f t="shared" si="51"/>
        <v>-0.1507474588</v>
      </c>
      <c r="E214" s="104">
        <f t="shared" si="51"/>
        <v>-0.3778726319</v>
      </c>
      <c r="F214" s="104">
        <f t="shared" si="51"/>
        <v>1.485385088</v>
      </c>
      <c r="G214" s="105">
        <f t="shared" si="51"/>
        <v>1.405903123</v>
      </c>
      <c r="H214" s="2"/>
      <c r="I214" s="66" t="s">
        <v>47</v>
      </c>
      <c r="J214" s="106">
        <f t="array" ref="J214:N218">MMULT(C214:G218,$M$201:$Q$205)</f>
        <v>1.101187305</v>
      </c>
      <c r="K214" s="107">
        <v>0.5866852010702313</v>
      </c>
      <c r="L214" s="107">
        <v>-0.023178536711945474</v>
      </c>
      <c r="M214" s="107">
        <v>2.4149870581804027</v>
      </c>
      <c r="N214" s="108">
        <v>0.4448095299952076</v>
      </c>
      <c r="O214" s="102"/>
      <c r="P214" s="2"/>
      <c r="Q214" s="66" t="s">
        <v>48</v>
      </c>
      <c r="R214" s="103">
        <f t="shared" ref="R214:V214" si="52">NORMINV(rand(),0, 1)</f>
        <v>0.8227479522</v>
      </c>
      <c r="S214" s="104">
        <f t="shared" si="52"/>
        <v>-0.5369163656</v>
      </c>
      <c r="T214" s="104">
        <f t="shared" si="52"/>
        <v>-1.077273109</v>
      </c>
      <c r="U214" s="104">
        <f t="shared" si="52"/>
        <v>2.071772146</v>
      </c>
      <c r="V214" s="105">
        <f t="shared" si="52"/>
        <v>1.029352026</v>
      </c>
      <c r="W214" s="2"/>
      <c r="X214" s="66" t="s">
        <v>49</v>
      </c>
      <c r="Y214" s="106">
        <f t="array" ref="Y214:AC218">MMULT(R214:V218,$M$201:$Q$205)</f>
        <v>0.959900313</v>
      </c>
      <c r="Z214" s="107">
        <v>1.3665531675530238</v>
      </c>
      <c r="AA214" s="107">
        <v>3.3073003030928043</v>
      </c>
      <c r="AB214" s="107">
        <v>6.204735528696004</v>
      </c>
      <c r="AC214" s="108">
        <v>4.342331581642544</v>
      </c>
    </row>
    <row r="215">
      <c r="B215" s="66" t="s">
        <v>12</v>
      </c>
      <c r="C215" s="110">
        <f t="shared" ref="C215:G215" si="53">NORMINV(rand(),0, 1)</f>
        <v>1.535217477</v>
      </c>
      <c r="D215" s="85">
        <f t="shared" si="53"/>
        <v>0.4455364998</v>
      </c>
      <c r="E215" s="85">
        <f t="shared" si="53"/>
        <v>0.1441709889</v>
      </c>
      <c r="F215" s="85">
        <f t="shared" si="53"/>
        <v>1.108067843</v>
      </c>
      <c r="G215" s="111">
        <f t="shared" si="53"/>
        <v>1.390529525</v>
      </c>
      <c r="H215" s="2"/>
      <c r="I215" s="2"/>
      <c r="J215" s="112">
        <v>1.2070353926503223</v>
      </c>
      <c r="K215" s="109">
        <v>0.9967057951099889</v>
      </c>
      <c r="L215" s="109">
        <v>3.0321379974434746</v>
      </c>
      <c r="M215" s="109">
        <v>6.860488374823442</v>
      </c>
      <c r="N215" s="113">
        <v>2.7463915598432536</v>
      </c>
      <c r="O215" s="102"/>
      <c r="P215" s="2"/>
      <c r="Q215" s="66" t="s">
        <v>12</v>
      </c>
      <c r="R215" s="110">
        <f t="shared" ref="R215:V215" si="54">NORMINV(rand(),0, 1)</f>
        <v>1.627854694</v>
      </c>
      <c r="S215" s="85">
        <f t="shared" si="54"/>
        <v>0.1771982931</v>
      </c>
      <c r="T215" s="85">
        <f t="shared" si="54"/>
        <v>-1.184634378</v>
      </c>
      <c r="U215" s="85">
        <f t="shared" si="54"/>
        <v>0.2464642354</v>
      </c>
      <c r="V215" s="111">
        <f t="shared" si="54"/>
        <v>0.4427169458</v>
      </c>
      <c r="W215" s="2"/>
      <c r="X215" s="2"/>
      <c r="Y215" s="112">
        <v>0.28234260530046135</v>
      </c>
      <c r="Z215" s="109">
        <v>1.9758310743178185</v>
      </c>
      <c r="AA215" s="109">
        <v>4.079950742252452</v>
      </c>
      <c r="AB215" s="109">
        <v>6.279710394628675</v>
      </c>
      <c r="AC215" s="113">
        <v>3.2494974266097008</v>
      </c>
    </row>
    <row r="216">
      <c r="B216" s="41"/>
      <c r="C216" s="110">
        <f t="shared" ref="C216:G216" si="55">NORMINV(rand(),0, 1)</f>
        <v>-0.9629329205</v>
      </c>
      <c r="D216" s="85">
        <f t="shared" si="55"/>
        <v>-0.106607602</v>
      </c>
      <c r="E216" s="85">
        <f t="shared" si="55"/>
        <v>0.1107822425</v>
      </c>
      <c r="F216" s="85">
        <f t="shared" si="55"/>
        <v>1.984367622</v>
      </c>
      <c r="G216" s="111">
        <f t="shared" si="55"/>
        <v>1.124996806</v>
      </c>
      <c r="H216" s="67" t="s">
        <v>8</v>
      </c>
      <c r="I216" s="67" t="s">
        <v>8</v>
      </c>
      <c r="J216" s="112">
        <v>0.9860927495810359</v>
      </c>
      <c r="K216" s="109">
        <v>-0.9000992267639156</v>
      </c>
      <c r="L216" s="109">
        <v>-0.8275044097680607</v>
      </c>
      <c r="M216" s="109">
        <v>0.8331380752206992</v>
      </c>
      <c r="N216" s="113">
        <v>-0.34852565744636843</v>
      </c>
      <c r="O216" s="102"/>
      <c r="P216" s="2"/>
      <c r="Q216" s="41"/>
      <c r="R216" s="110">
        <f t="shared" ref="R216:V216" si="56">NORMINV(rand(),0, 1)</f>
        <v>2.098335873</v>
      </c>
      <c r="S216" s="85">
        <f t="shared" si="56"/>
        <v>-0.3446412822</v>
      </c>
      <c r="T216" s="85">
        <f t="shared" si="56"/>
        <v>0.9668496353</v>
      </c>
      <c r="U216" s="85">
        <f t="shared" si="56"/>
        <v>0.7772499489</v>
      </c>
      <c r="V216" s="111">
        <f t="shared" si="56"/>
        <v>0.2089735932</v>
      </c>
      <c r="W216" s="67" t="s">
        <v>8</v>
      </c>
      <c r="X216" s="67" t="s">
        <v>8</v>
      </c>
      <c r="Y216" s="112">
        <v>0.6025212856013025</v>
      </c>
      <c r="Z216" s="109">
        <v>0.515424523578404</v>
      </c>
      <c r="AA216" s="109">
        <v>3.131041228115511</v>
      </c>
      <c r="AB216" s="109">
        <v>5.035746612015409</v>
      </c>
      <c r="AC216" s="113">
        <v>5.141528158846615</v>
      </c>
    </row>
    <row r="217">
      <c r="B217" s="41"/>
      <c r="C217" s="110">
        <f t="shared" ref="C217:G217" si="57">NORMINV(rand(),0, 1)</f>
        <v>-0.7899805852</v>
      </c>
      <c r="D217" s="85">
        <f t="shared" si="57"/>
        <v>-1.26573207</v>
      </c>
      <c r="E217" s="85">
        <f t="shared" si="57"/>
        <v>-2.365490408</v>
      </c>
      <c r="F217" s="85">
        <f t="shared" si="57"/>
        <v>-0.1780865643</v>
      </c>
      <c r="G217" s="111">
        <f t="shared" si="57"/>
        <v>0.08909800023</v>
      </c>
      <c r="H217" s="2"/>
      <c r="I217" s="2"/>
      <c r="J217" s="112">
        <v>-0.20999868061053362</v>
      </c>
      <c r="K217" s="109">
        <v>2.9777443959210004</v>
      </c>
      <c r="L217" s="109">
        <v>-0.2176832374709559</v>
      </c>
      <c r="M217" s="109">
        <v>-0.7059265428057667</v>
      </c>
      <c r="N217" s="113">
        <v>1.197998666274373</v>
      </c>
      <c r="O217" s="102"/>
      <c r="P217" s="2"/>
      <c r="Q217" s="41"/>
      <c r="R217" s="110">
        <f t="shared" ref="R217:V217" si="58">NORMINV(rand(),0, 1)</f>
        <v>-0.9796556842</v>
      </c>
      <c r="S217" s="85">
        <f t="shared" si="58"/>
        <v>-1.243252171</v>
      </c>
      <c r="T217" s="85">
        <f t="shared" si="58"/>
        <v>0.8502142807</v>
      </c>
      <c r="U217" s="85">
        <f t="shared" si="58"/>
        <v>1.260122686</v>
      </c>
      <c r="V217" s="111">
        <f t="shared" si="58"/>
        <v>-0.4586704062</v>
      </c>
      <c r="W217" s="2"/>
      <c r="X217" s="2"/>
      <c r="Y217" s="112">
        <v>0.03356967547994677</v>
      </c>
      <c r="Z217" s="109">
        <v>-1.4141932720549861</v>
      </c>
      <c r="AA217" s="109">
        <v>-2.01517098744713</v>
      </c>
      <c r="AB217" s="109">
        <v>-3.5539535226694077</v>
      </c>
      <c r="AC217" s="113">
        <v>1.3419436821890176</v>
      </c>
    </row>
    <row r="218">
      <c r="B218" s="41"/>
      <c r="C218" s="114">
        <f t="shared" ref="C218:G218" si="59">NORMINV(rand(),0, 1)</f>
        <v>-0.5250909265</v>
      </c>
      <c r="D218" s="115">
        <f t="shared" si="59"/>
        <v>1.072549247</v>
      </c>
      <c r="E218" s="115">
        <f t="shared" si="59"/>
        <v>0.1720536252</v>
      </c>
      <c r="F218" s="115">
        <f t="shared" si="59"/>
        <v>-0.7638551485</v>
      </c>
      <c r="G218" s="116">
        <f t="shared" si="59"/>
        <v>-0.5839457838</v>
      </c>
      <c r="H218" s="2"/>
      <c r="J218" s="117">
        <v>-0.6592162440926015</v>
      </c>
      <c r="K218" s="118">
        <v>-1.6888734542697477</v>
      </c>
      <c r="L218" s="118">
        <v>-0.6995780690640269</v>
      </c>
      <c r="M218" s="118">
        <v>-2.026003017770412</v>
      </c>
      <c r="N218" s="119">
        <v>-3.5752644860711813</v>
      </c>
      <c r="O218" s="102"/>
      <c r="P218" s="2"/>
      <c r="Q218" s="41"/>
      <c r="R218" s="114">
        <f t="shared" ref="R218:V218" si="60">NORMINV(rand(),0, 1)</f>
        <v>-0.7613176784</v>
      </c>
      <c r="S218" s="115">
        <f t="shared" si="60"/>
        <v>-1.840937898</v>
      </c>
      <c r="T218" s="115">
        <f t="shared" si="60"/>
        <v>1.155549206</v>
      </c>
      <c r="U218" s="115">
        <f t="shared" si="60"/>
        <v>-0.3348549737</v>
      </c>
      <c r="V218" s="116">
        <f t="shared" si="60"/>
        <v>1.597852239</v>
      </c>
      <c r="W218" s="2"/>
      <c r="Y218" s="117">
        <v>1.4180655038164094</v>
      </c>
      <c r="Z218" s="118">
        <v>2.875653240674434</v>
      </c>
      <c r="AA218" s="118">
        <v>-4.8844377919421</v>
      </c>
      <c r="AB218" s="118">
        <v>-3.5081812692084533</v>
      </c>
      <c r="AC218" s="119">
        <v>1.0364291632022846</v>
      </c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02"/>
      <c r="P219" s="2"/>
      <c r="Q219" s="1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B220" s="66" t="s">
        <v>50</v>
      </c>
      <c r="C220" s="120">
        <f t="shared" ref="C220:G220" si="61">NORMINV(rand(),0, 1)</f>
        <v>0.5094198846</v>
      </c>
      <c r="D220" s="121">
        <f t="shared" si="61"/>
        <v>0.9944543898</v>
      </c>
      <c r="E220" s="122">
        <f t="shared" si="61"/>
        <v>0.8843056313</v>
      </c>
      <c r="F220" s="123">
        <f t="shared" si="61"/>
        <v>1.803601199</v>
      </c>
      <c r="G220" s="124">
        <f t="shared" si="61"/>
        <v>0.8122004581</v>
      </c>
      <c r="H220" s="2"/>
      <c r="I220" s="66" t="s">
        <v>51</v>
      </c>
      <c r="J220" s="125">
        <f t="array" ref="J220:N224">MMULT(C220:G224,$M$201:$Q$205)</f>
        <v>0.8402074987</v>
      </c>
      <c r="K220" s="126">
        <v>-2.0452535945172</v>
      </c>
      <c r="L220" s="127">
        <v>1.814461362775335</v>
      </c>
      <c r="M220" s="128">
        <v>4.165102105981804</v>
      </c>
      <c r="N220" s="129">
        <v>0.23183951843128087</v>
      </c>
      <c r="O220" s="102"/>
      <c r="P220" s="2"/>
      <c r="Q220" s="66" t="s">
        <v>52</v>
      </c>
      <c r="R220" s="120">
        <f t="shared" ref="R220:V220" si="62">NORMINV(rand(),0, 1)</f>
        <v>1.258990951</v>
      </c>
      <c r="S220" s="121">
        <f t="shared" si="62"/>
        <v>-0.9221705596</v>
      </c>
      <c r="T220" s="122">
        <f t="shared" si="62"/>
        <v>-1.638616601</v>
      </c>
      <c r="U220" s="123">
        <f t="shared" si="62"/>
        <v>-0.5652759314</v>
      </c>
      <c r="V220" s="124">
        <f t="shared" si="62"/>
        <v>0.6739641648</v>
      </c>
      <c r="W220" s="2"/>
      <c r="X220" s="66" t="s">
        <v>53</v>
      </c>
      <c r="Y220" s="125">
        <f t="array" ref="Y220:AC224">MMULT(R220:V224,$M$201:$Q$205)</f>
        <v>0.3859125687</v>
      </c>
      <c r="Z220" s="126">
        <v>4.278744390273254</v>
      </c>
      <c r="AA220" s="127">
        <v>2.2876539349383065</v>
      </c>
      <c r="AB220" s="128">
        <v>4.157941431950892</v>
      </c>
      <c r="AC220" s="129">
        <v>3.9665426943723405</v>
      </c>
    </row>
    <row r="221">
      <c r="B221" s="66" t="s">
        <v>16</v>
      </c>
      <c r="C221" s="130">
        <f t="shared" ref="C221:G221" si="63">NORMINV(rand(),0, 1)</f>
        <v>0.1940579563</v>
      </c>
      <c r="D221" s="132">
        <f t="shared" si="63"/>
        <v>1.230357514</v>
      </c>
      <c r="E221" s="133">
        <f t="shared" si="63"/>
        <v>0.01314360403</v>
      </c>
      <c r="F221" s="134">
        <f t="shared" si="63"/>
        <v>1.403104595</v>
      </c>
      <c r="G221" s="135">
        <f t="shared" si="63"/>
        <v>-0.3873079472</v>
      </c>
      <c r="H221" s="2"/>
      <c r="I221" s="41"/>
      <c r="J221" s="136">
        <v>-0.23502429505872832</v>
      </c>
      <c r="K221" s="137">
        <v>-2.8997723026769555</v>
      </c>
      <c r="L221" s="138">
        <v>2.5858434344661725</v>
      </c>
      <c r="M221" s="139">
        <v>2.784915674815219</v>
      </c>
      <c r="N221" s="140">
        <v>-0.6817590998321978</v>
      </c>
      <c r="O221" s="102"/>
      <c r="P221" s="2"/>
      <c r="Q221" s="66" t="s">
        <v>16</v>
      </c>
      <c r="R221" s="130">
        <f t="shared" ref="R221:V221" si="64">NORMINV(rand(),0, 1)</f>
        <v>-0.4004785451</v>
      </c>
      <c r="S221" s="132">
        <f t="shared" si="64"/>
        <v>0.2949517724</v>
      </c>
      <c r="T221" s="133">
        <f t="shared" si="64"/>
        <v>-0.3483569996</v>
      </c>
      <c r="U221" s="134">
        <f t="shared" si="64"/>
        <v>-0.8634249195</v>
      </c>
      <c r="V221" s="135">
        <f t="shared" si="64"/>
        <v>-0.9300192252</v>
      </c>
      <c r="W221" s="2"/>
      <c r="X221" s="41"/>
      <c r="Y221" s="136">
        <v>-0.8818701963273903</v>
      </c>
      <c r="Z221" s="137">
        <v>-0.6655104061143411</v>
      </c>
      <c r="AA221" s="138">
        <v>-0.38953393938689207</v>
      </c>
      <c r="AB221" s="139">
        <v>-2.3440735999729023</v>
      </c>
      <c r="AC221" s="140">
        <v>-1.7557646212038789</v>
      </c>
    </row>
    <row r="222">
      <c r="B222" s="41"/>
      <c r="C222" s="142">
        <f t="shared" ref="C222:G222" si="65">NORMINV(rand(),0, 1)</f>
        <v>-0.07609773525</v>
      </c>
      <c r="D222" s="143">
        <f t="shared" si="65"/>
        <v>-1.08413913</v>
      </c>
      <c r="E222" s="88">
        <f t="shared" si="65"/>
        <v>0.1201679723</v>
      </c>
      <c r="F222" s="144">
        <f t="shared" si="65"/>
        <v>0.3772714909</v>
      </c>
      <c r="G222" s="145">
        <f t="shared" si="65"/>
        <v>1.120278872</v>
      </c>
      <c r="H222" s="67" t="s">
        <v>8</v>
      </c>
      <c r="I222" s="67" t="s">
        <v>8</v>
      </c>
      <c r="J222" s="146">
        <v>0.9818337383900161</v>
      </c>
      <c r="K222" s="147">
        <v>2.065205362357265</v>
      </c>
      <c r="L222" s="148">
        <v>-1.2959857213831636</v>
      </c>
      <c r="M222" s="149">
        <v>0.3199403838474605</v>
      </c>
      <c r="N222" s="150">
        <v>1.9046764970748271</v>
      </c>
      <c r="O222" s="102"/>
      <c r="P222" s="2"/>
      <c r="Q222" s="41"/>
      <c r="R222" s="142">
        <f t="shared" ref="R222:V222" si="66">NORMINV(rand(),0, 1)</f>
        <v>-2.278192453</v>
      </c>
      <c r="S222" s="143">
        <f t="shared" si="66"/>
        <v>1.382195845</v>
      </c>
      <c r="T222" s="88">
        <f t="shared" si="66"/>
        <v>1.068838903</v>
      </c>
      <c r="U222" s="144">
        <f t="shared" si="66"/>
        <v>0.6951437362</v>
      </c>
      <c r="V222" s="145">
        <f t="shared" si="66"/>
        <v>-0.00490604365</v>
      </c>
      <c r="W222" s="67" t="s">
        <v>8</v>
      </c>
      <c r="X222" s="67" t="s">
        <v>8</v>
      </c>
      <c r="Y222" s="146">
        <v>-0.12582673361243515</v>
      </c>
      <c r="Z222" s="147">
        <v>-4.315487066217853</v>
      </c>
      <c r="AA222" s="148">
        <v>-3.529681403928906</v>
      </c>
      <c r="AB222" s="149">
        <v>-4.828030936456669</v>
      </c>
      <c r="AC222" s="150">
        <v>-6.747969528955407</v>
      </c>
    </row>
    <row r="223">
      <c r="B223" s="41"/>
      <c r="C223" s="152">
        <f t="shared" ref="C223:G223" si="67">NORMINV(rand(),0, 1)</f>
        <v>1.060460524</v>
      </c>
      <c r="D223" s="92">
        <f t="shared" si="67"/>
        <v>-0.3440932264</v>
      </c>
      <c r="E223" s="153">
        <f t="shared" si="67"/>
        <v>-0.9481522902</v>
      </c>
      <c r="F223" s="154">
        <f t="shared" si="67"/>
        <v>-0.1591260526</v>
      </c>
      <c r="G223" s="155">
        <f t="shared" si="67"/>
        <v>1.082352406</v>
      </c>
      <c r="H223" s="2"/>
      <c r="I223" s="41"/>
      <c r="J223" s="156">
        <v>0.7342272407712589</v>
      </c>
      <c r="K223" s="157">
        <v>3.1233538441815814</v>
      </c>
      <c r="L223" s="158">
        <v>1.7812883096039847</v>
      </c>
      <c r="M223" s="159">
        <v>4.343324362630958</v>
      </c>
      <c r="N223" s="160">
        <v>2.573151472120653</v>
      </c>
      <c r="O223" s="102"/>
      <c r="P223" s="2"/>
      <c r="Q223" s="41"/>
      <c r="R223" s="152">
        <f t="shared" ref="R223:V223" si="68">NORMINV(rand(),0, 1)</f>
        <v>2.007333125</v>
      </c>
      <c r="S223" s="92">
        <f t="shared" si="68"/>
        <v>-0.793229622</v>
      </c>
      <c r="T223" s="153">
        <f t="shared" si="68"/>
        <v>2.028848747</v>
      </c>
      <c r="U223" s="154">
        <f t="shared" si="68"/>
        <v>-1.610710513</v>
      </c>
      <c r="V223" s="155">
        <f t="shared" si="68"/>
        <v>1.023880574</v>
      </c>
      <c r="W223" s="2"/>
      <c r="X223" s="41"/>
      <c r="Y223" s="156">
        <v>1.08196484435424</v>
      </c>
      <c r="Z223" s="157">
        <v>3.1090766889322197</v>
      </c>
      <c r="AA223" s="158">
        <v>-0.8638973650389721</v>
      </c>
      <c r="AB223" s="159">
        <v>1.395708567307315</v>
      </c>
      <c r="AC223" s="160">
        <v>3.404815984554014</v>
      </c>
    </row>
    <row r="224">
      <c r="B224" s="41"/>
      <c r="C224" s="162">
        <f t="shared" ref="C224:G224" si="69">NORMINV(rand(),0, 1)</f>
        <v>0.2100989658</v>
      </c>
      <c r="D224" s="163">
        <f t="shared" si="69"/>
        <v>0.7563847803</v>
      </c>
      <c r="E224" s="164">
        <f t="shared" si="69"/>
        <v>0.2118596394</v>
      </c>
      <c r="F224" s="165">
        <f t="shared" si="69"/>
        <v>1.696338835</v>
      </c>
      <c r="G224" s="166">
        <f t="shared" si="69"/>
        <v>1.631998711</v>
      </c>
      <c r="H224" s="2"/>
      <c r="I224" s="41"/>
      <c r="J224" s="167">
        <v>1.3099103435707309</v>
      </c>
      <c r="K224" s="168">
        <v>-0.41351141762261756</v>
      </c>
      <c r="L224" s="169">
        <v>1.1902219652710762</v>
      </c>
      <c r="M224" s="170">
        <v>4.669628498027745</v>
      </c>
      <c r="N224" s="171">
        <v>-0.03144901733086386</v>
      </c>
      <c r="O224" s="102"/>
      <c r="P224" s="2"/>
      <c r="Q224" s="41"/>
      <c r="R224" s="162">
        <f t="shared" ref="R224:V224" si="70">NORMINV(rand(),0, 1)</f>
        <v>1.484438084</v>
      </c>
      <c r="S224" s="163">
        <f t="shared" si="70"/>
        <v>-1.312847909</v>
      </c>
      <c r="T224" s="164">
        <f t="shared" si="70"/>
        <v>0.2564689803</v>
      </c>
      <c r="U224" s="165">
        <f t="shared" si="70"/>
        <v>0.726266007</v>
      </c>
      <c r="V224" s="166">
        <f t="shared" si="70"/>
        <v>2.311644407</v>
      </c>
      <c r="W224" s="2"/>
      <c r="X224" s="41"/>
      <c r="Y224" s="167">
        <v>2.040782945045308</v>
      </c>
      <c r="Z224" s="168">
        <v>4.246153660348269</v>
      </c>
      <c r="AA224" s="169">
        <v>0.8010592362302402</v>
      </c>
      <c r="AB224" s="170">
        <v>5.55853351132763</v>
      </c>
      <c r="AC224" s="171">
        <v>5.386477969091082</v>
      </c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02"/>
      <c r="P225" s="2"/>
      <c r="Q225" s="1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B226" s="1"/>
      <c r="C226" s="2"/>
      <c r="D226" s="2"/>
      <c r="E226" s="2"/>
      <c r="L226" s="2"/>
      <c r="M226" s="2"/>
      <c r="N226" s="2"/>
      <c r="O226" s="102"/>
      <c r="P226" s="2"/>
      <c r="Q226" s="1"/>
      <c r="R226" s="2"/>
      <c r="S226" s="2"/>
      <c r="T226" s="2"/>
      <c r="AA226" s="2"/>
      <c r="AB226" s="2"/>
      <c r="AC226" s="2"/>
    </row>
    <row r="227">
      <c r="B227" s="1"/>
      <c r="C227" s="2"/>
      <c r="D227" s="2"/>
      <c r="E227" s="2"/>
      <c r="F227" s="68" t="s">
        <v>22</v>
      </c>
      <c r="G227" s="7">
        <f t="array" ref="G227:K231">MMULT(TRANSPOSE(J214:N218),J208:N212) / 5^0.5</f>
        <v>-0.2474740826</v>
      </c>
      <c r="H227" s="8">
        <v>-1.4853989318109395</v>
      </c>
      <c r="I227" s="8">
        <v>-1.8992001528375886</v>
      </c>
      <c r="J227" s="8">
        <v>-3.6584084804789843</v>
      </c>
      <c r="K227" s="9">
        <v>-0.3996155261569293</v>
      </c>
      <c r="L227" s="2"/>
      <c r="M227" s="2"/>
      <c r="N227" s="2"/>
      <c r="O227" s="102"/>
      <c r="P227" s="2"/>
      <c r="Q227" s="1"/>
      <c r="R227" s="2"/>
      <c r="S227" s="2"/>
      <c r="T227" s="2"/>
      <c r="U227" s="68" t="s">
        <v>22</v>
      </c>
      <c r="V227" s="7">
        <f t="array" ref="V227:Z231">MMULT(TRANSPOSE(Y214:AC218),Y208:AC212) / 5^0.5</f>
        <v>-0.1733459512</v>
      </c>
      <c r="W227" s="8">
        <v>0.004576252017028789</v>
      </c>
      <c r="X227" s="8">
        <v>-0.7688857666759421</v>
      </c>
      <c r="Y227" s="8">
        <v>-1.4634715762826174</v>
      </c>
      <c r="Z227" s="9">
        <v>-0.37095311687973803</v>
      </c>
      <c r="AA227" s="2"/>
      <c r="AB227" s="2"/>
      <c r="AC227" s="2"/>
    </row>
    <row r="228">
      <c r="B228" s="1"/>
      <c r="C228" s="2"/>
      <c r="D228" s="2"/>
      <c r="E228" s="2"/>
      <c r="G228" s="11">
        <v>1.0187371564881347</v>
      </c>
      <c r="H228" s="10">
        <v>4.7514170930513995</v>
      </c>
      <c r="I228" s="10">
        <v>3.373330812965133</v>
      </c>
      <c r="J228" s="10">
        <v>6.174587192759576</v>
      </c>
      <c r="K228" s="12">
        <v>11.069224464706295</v>
      </c>
      <c r="L228" s="2"/>
      <c r="M228" s="2"/>
      <c r="N228" s="2"/>
      <c r="O228" s="102"/>
      <c r="P228" s="2"/>
      <c r="Q228" s="1"/>
      <c r="R228" s="2"/>
      <c r="S228" s="2"/>
      <c r="T228" s="2"/>
      <c r="V228" s="11">
        <v>-1.4187743463303195</v>
      </c>
      <c r="W228" s="10">
        <v>-1.4711185431850224</v>
      </c>
      <c r="X228" s="10">
        <v>0.17617007454334693</v>
      </c>
      <c r="Y228" s="10">
        <v>-3.3515132924001447</v>
      </c>
      <c r="Z228" s="12">
        <v>-0.9585298402598782</v>
      </c>
      <c r="AA228" s="2"/>
      <c r="AB228" s="2"/>
      <c r="AC228" s="2"/>
    </row>
    <row r="229">
      <c r="B229" s="1"/>
      <c r="C229" s="2"/>
      <c r="D229" s="2"/>
      <c r="E229" s="2"/>
      <c r="G229" s="11">
        <v>1.4729928250191442</v>
      </c>
      <c r="H229" s="10">
        <v>-0.5736548302939705</v>
      </c>
      <c r="I229" s="10">
        <v>-4.851019135736755</v>
      </c>
      <c r="J229" s="10">
        <v>-4.234339166307441</v>
      </c>
      <c r="K229" s="12">
        <v>2.4542710892832122</v>
      </c>
      <c r="L229" s="2"/>
      <c r="M229" s="2"/>
      <c r="N229" s="2"/>
      <c r="O229" s="102"/>
      <c r="P229" s="2"/>
      <c r="Q229" s="1"/>
      <c r="R229" s="2"/>
      <c r="S229" s="2"/>
      <c r="T229" s="2"/>
      <c r="V229" s="11">
        <v>-0.367608907027255</v>
      </c>
      <c r="W229" s="10">
        <v>-4.131393450377259</v>
      </c>
      <c r="X229" s="10">
        <v>-14.86143788799824</v>
      </c>
      <c r="Y229" s="10">
        <v>-18.73323952002154</v>
      </c>
      <c r="Z229" s="12">
        <v>-24.404579235483308</v>
      </c>
      <c r="AA229" s="2"/>
      <c r="AB229" s="2"/>
      <c r="AC229" s="2"/>
    </row>
    <row r="230">
      <c r="B230" s="1"/>
      <c r="C230" s="2"/>
      <c r="D230" s="2"/>
      <c r="E230" s="2"/>
      <c r="G230" s="11">
        <v>1.6378790834034578</v>
      </c>
      <c r="H230" s="10">
        <v>-3.962530278588073</v>
      </c>
      <c r="I230" s="10">
        <v>-11.053940632441865</v>
      </c>
      <c r="J230" s="10">
        <v>-13.682134042544337</v>
      </c>
      <c r="K230" s="12">
        <v>2.0816913484583712</v>
      </c>
      <c r="L230" s="2"/>
      <c r="M230" s="2"/>
      <c r="N230" s="2"/>
      <c r="O230" s="102"/>
      <c r="P230" s="2"/>
      <c r="Q230" s="1"/>
      <c r="R230" s="2"/>
      <c r="S230" s="2"/>
      <c r="T230" s="2"/>
      <c r="V230" s="11">
        <v>-1.6003699307716295</v>
      </c>
      <c r="W230" s="10">
        <v>-6.102993980205195</v>
      </c>
      <c r="X230" s="10">
        <v>-20.67034682690496</v>
      </c>
      <c r="Y230" s="10">
        <v>-28.93943297324811</v>
      </c>
      <c r="Z230" s="12">
        <v>-33.06767699200541</v>
      </c>
      <c r="AA230" s="2"/>
      <c r="AB230" s="2"/>
      <c r="AC230" s="2"/>
    </row>
    <row r="231">
      <c r="B231" s="1"/>
      <c r="C231" s="2"/>
      <c r="D231" s="2"/>
      <c r="E231" s="2"/>
      <c r="G231" s="13">
        <v>1.0548171666099724</v>
      </c>
      <c r="H231" s="14">
        <v>2.1065838528563043</v>
      </c>
      <c r="I231" s="14">
        <v>-1.2164550920684358</v>
      </c>
      <c r="J231" s="14">
        <v>-1.0068879307915672</v>
      </c>
      <c r="K231" s="15">
        <v>10.519871739163598</v>
      </c>
      <c r="L231" s="2"/>
      <c r="M231" s="2"/>
      <c r="N231" s="2"/>
      <c r="O231" s="102"/>
      <c r="P231" s="2"/>
      <c r="Q231" s="1"/>
      <c r="R231" s="2"/>
      <c r="S231" s="2"/>
      <c r="T231" s="2"/>
      <c r="V231" s="13">
        <v>1.1629019150286806</v>
      </c>
      <c r="W231" s="14">
        <v>-1.8272110541584372</v>
      </c>
      <c r="X231" s="14">
        <v>-11.224006557633679</v>
      </c>
      <c r="Y231" s="14">
        <v>-10.762600487808202</v>
      </c>
      <c r="Z231" s="15">
        <v>-16.4241750096689</v>
      </c>
      <c r="AA231" s="2"/>
      <c r="AB231" s="2"/>
      <c r="AC231" s="2"/>
    </row>
    <row r="232">
      <c r="B232" s="1"/>
      <c r="C232" s="2"/>
      <c r="D232" s="2"/>
      <c r="E232" s="2"/>
      <c r="F232" s="2"/>
      <c r="G232" s="2"/>
      <c r="H232" s="2"/>
      <c r="I232" s="98" t="s">
        <v>4</v>
      </c>
      <c r="J232" s="2"/>
      <c r="K232" s="2"/>
      <c r="L232" s="2"/>
      <c r="M232" s="2"/>
      <c r="N232" s="2"/>
      <c r="O232" s="102"/>
      <c r="P232" s="2"/>
      <c r="Q232" s="1"/>
      <c r="R232" s="2"/>
      <c r="S232" s="2"/>
      <c r="T232" s="2"/>
      <c r="U232" s="2"/>
      <c r="V232" s="2"/>
      <c r="W232" s="2"/>
      <c r="X232" s="98" t="s">
        <v>4</v>
      </c>
      <c r="Y232" s="2"/>
      <c r="Z232" s="2"/>
      <c r="AA232" s="2"/>
      <c r="AB232" s="2"/>
      <c r="AC232" s="2"/>
    </row>
    <row r="233">
      <c r="B233" s="1"/>
      <c r="C233" s="2"/>
      <c r="D233" s="2"/>
      <c r="E233" s="2"/>
      <c r="F233" s="2"/>
      <c r="G233" s="2"/>
      <c r="H233" s="2"/>
      <c r="I233" s="98" t="s">
        <v>4</v>
      </c>
      <c r="J233" s="2"/>
      <c r="K233" s="2"/>
      <c r="L233" s="2"/>
      <c r="M233" s="2"/>
      <c r="N233" s="2"/>
      <c r="O233" s="102"/>
      <c r="P233" s="2"/>
      <c r="Q233" s="1"/>
      <c r="R233" s="2"/>
      <c r="S233" s="2"/>
      <c r="T233" s="2"/>
      <c r="U233" s="2"/>
      <c r="V233" s="2"/>
      <c r="W233" s="2"/>
      <c r="X233" s="98" t="s">
        <v>4</v>
      </c>
      <c r="Y233" s="2"/>
      <c r="Z233" s="2"/>
      <c r="AA233" s="2"/>
      <c r="AB233" s="2"/>
      <c r="AC233" s="2"/>
    </row>
    <row r="234">
      <c r="B234" s="1"/>
      <c r="C234" s="2"/>
      <c r="D234" s="2"/>
      <c r="E234" s="2"/>
      <c r="F234" s="34" t="s">
        <v>37</v>
      </c>
      <c r="G234" s="173">
        <f t="shared" ref="G234:K234" si="71">EXP(G227+Y201)/SUMPRODUCT(EXP($G227:$K227+$Y201:$AC201))
</f>
        <v>1</v>
      </c>
      <c r="H234" s="174">
        <f t="shared" si="71"/>
        <v>0</v>
      </c>
      <c r="I234" s="174">
        <f t="shared" si="71"/>
        <v>0</v>
      </c>
      <c r="J234" s="174">
        <f t="shared" si="71"/>
        <v>0</v>
      </c>
      <c r="K234" s="175">
        <f t="shared" si="71"/>
        <v>0</v>
      </c>
      <c r="L234" s="2"/>
      <c r="M234" s="2"/>
      <c r="N234" s="2"/>
      <c r="O234" s="102"/>
      <c r="P234" s="2"/>
      <c r="Q234" s="1"/>
      <c r="R234" s="2"/>
      <c r="S234" s="2"/>
      <c r="T234" s="2"/>
      <c r="U234" s="34" t="s">
        <v>37</v>
      </c>
      <c r="V234" s="173">
        <f t="shared" ref="V234:Z234" si="72">EXP(V227+Y201)/SUMPRODUCT(EXP($V227:$Z227+$Y201:$AC201))
</f>
        <v>1</v>
      </c>
      <c r="W234" s="174">
        <f t="shared" si="72"/>
        <v>0</v>
      </c>
      <c r="X234" s="174">
        <f t="shared" si="72"/>
        <v>0</v>
      </c>
      <c r="Y234" s="174">
        <f t="shared" si="72"/>
        <v>0</v>
      </c>
      <c r="Z234" s="175">
        <f t="shared" si="72"/>
        <v>0</v>
      </c>
      <c r="AA234" s="2"/>
      <c r="AB234" s="2"/>
      <c r="AC234" s="2"/>
    </row>
    <row r="235">
      <c r="B235" s="1"/>
      <c r="C235" s="2"/>
      <c r="D235" s="2"/>
      <c r="E235" s="2"/>
      <c r="F235" s="34" t="s">
        <v>35</v>
      </c>
      <c r="G235" s="176">
        <f t="shared" ref="G235:K235" si="73">EXP(G228+Y202)/SUMPRODUCT(EXP($G228:$K228+$Y202:$AC202))
</f>
        <v>0.0233694245</v>
      </c>
      <c r="H235" s="177">
        <f t="shared" si="73"/>
        <v>0.9766305755</v>
      </c>
      <c r="I235" s="177">
        <f t="shared" si="73"/>
        <v>0</v>
      </c>
      <c r="J235" s="177">
        <f t="shared" si="73"/>
        <v>0</v>
      </c>
      <c r="K235" s="178">
        <f t="shared" si="73"/>
        <v>0</v>
      </c>
      <c r="L235" s="2"/>
      <c r="M235" s="2"/>
      <c r="N235" s="2"/>
      <c r="O235" s="102"/>
      <c r="P235" s="2"/>
      <c r="Q235" s="1"/>
      <c r="R235" s="2"/>
      <c r="S235" s="2"/>
      <c r="T235" s="2"/>
      <c r="U235" s="34" t="s">
        <v>35</v>
      </c>
      <c r="V235" s="176">
        <f t="shared" ref="V235:Z235" si="74">EXP(V228+Y202)/SUMPRODUCT(EXP($V228:$Z228+$Y202:$AC202))
</f>
        <v>0.5130830621</v>
      </c>
      <c r="W235" s="177">
        <f t="shared" si="74"/>
        <v>0.4869169379</v>
      </c>
      <c r="X235" s="177">
        <f t="shared" si="74"/>
        <v>0</v>
      </c>
      <c r="Y235" s="177">
        <f t="shared" si="74"/>
        <v>0</v>
      </c>
      <c r="Z235" s="178">
        <f t="shared" si="74"/>
        <v>0</v>
      </c>
      <c r="AA235" s="2"/>
      <c r="AB235" s="2"/>
      <c r="AC235" s="2"/>
    </row>
    <row r="236">
      <c r="B236" s="1"/>
      <c r="C236" s="2"/>
      <c r="D236" s="2"/>
      <c r="E236" s="2"/>
      <c r="F236" s="67"/>
      <c r="G236" s="176">
        <f t="shared" ref="G236:K236" si="75">EXP(G229+Y203)/SUMPRODUCT(EXP($G229:$K229+$Y203:$AC203))
</f>
        <v>0.8842046257</v>
      </c>
      <c r="H236" s="177">
        <f t="shared" si="75"/>
        <v>0.1142102282</v>
      </c>
      <c r="I236" s="177">
        <f t="shared" si="75"/>
        <v>0.001585146056</v>
      </c>
      <c r="J236" s="177">
        <f t="shared" si="75"/>
        <v>0</v>
      </c>
      <c r="K236" s="178">
        <f t="shared" si="75"/>
        <v>0</v>
      </c>
      <c r="L236" s="2"/>
      <c r="M236" s="2"/>
      <c r="N236" s="2"/>
      <c r="O236" s="102"/>
      <c r="P236" s="2"/>
      <c r="Q236" s="1"/>
      <c r="R236" s="2"/>
      <c r="S236" s="2"/>
      <c r="T236" s="2"/>
      <c r="U236" s="67"/>
      <c r="V236" s="176">
        <f t="shared" ref="V236:Z236" si="76">EXP(V229+Y203)/SUMPRODUCT(EXP($V229:$Z229+$Y203:$AC203))
</f>
        <v>0.9773295739</v>
      </c>
      <c r="W236" s="177">
        <f t="shared" si="76"/>
        <v>0.02266993017</v>
      </c>
      <c r="X236" s="177">
        <f t="shared" si="76"/>
        <v>0.0000004959650719</v>
      </c>
      <c r="Y236" s="177">
        <f t="shared" si="76"/>
        <v>0</v>
      </c>
      <c r="Z236" s="178">
        <f t="shared" si="76"/>
        <v>0</v>
      </c>
      <c r="AA236" s="2"/>
      <c r="AB236" s="2"/>
      <c r="AC236" s="2"/>
    </row>
    <row r="237">
      <c r="B237" s="1"/>
      <c r="C237" s="2"/>
      <c r="D237" s="2"/>
      <c r="E237" s="2"/>
      <c r="F237" s="94"/>
      <c r="G237" s="176">
        <f t="shared" ref="G237:K237" si="77">EXP(G230+Y204)/SUMPRODUCT(EXP($G230:$K230+$Y204:$AC204))
</f>
        <v>0.9963139884</v>
      </c>
      <c r="H237" s="177">
        <f t="shared" si="77"/>
        <v>0.003682725471</v>
      </c>
      <c r="I237" s="177">
        <f t="shared" si="77"/>
        <v>0.000003064848136</v>
      </c>
      <c r="J237" s="177">
        <f t="shared" si="77"/>
        <v>0.0000002213089943</v>
      </c>
      <c r="K237" s="178">
        <f t="shared" si="77"/>
        <v>0</v>
      </c>
      <c r="L237" s="2"/>
      <c r="M237" s="2"/>
      <c r="N237" s="2"/>
      <c r="O237" s="102"/>
      <c r="P237" s="21"/>
      <c r="Q237" s="2"/>
      <c r="R237" s="2"/>
      <c r="S237" s="2"/>
      <c r="T237" s="2"/>
      <c r="U237" s="2"/>
      <c r="V237" s="176">
        <f t="shared" ref="V237:Z237" si="78">EXP(V230+Y204)/SUMPRODUCT(EXP($V230:$Z230+$Y204:$AC204))
</f>
        <v>0.9890415292</v>
      </c>
      <c r="W237" s="177">
        <f t="shared" si="78"/>
        <v>0.01095846561</v>
      </c>
      <c r="X237" s="177">
        <f t="shared" si="78"/>
        <v>0.000000005166884955</v>
      </c>
      <c r="Y237" s="177">
        <f t="shared" si="78"/>
        <v>0</v>
      </c>
      <c r="Z237" s="178">
        <f t="shared" si="78"/>
        <v>0</v>
      </c>
      <c r="AA237" s="2"/>
      <c r="AB237" s="2"/>
      <c r="AC237" s="2"/>
    </row>
    <row r="238">
      <c r="B238" s="1"/>
      <c r="C238" s="2"/>
      <c r="D238" s="2"/>
      <c r="E238" s="2"/>
      <c r="F238" s="41"/>
      <c r="G238" s="179">
        <f t="shared" ref="G238:K238" si="79">EXP(G231+Y205)/SUMPRODUCT(EXP($G231:$K231+$Y205:$AC205))
</f>
        <v>0.00007748921476</v>
      </c>
      <c r="H238" s="180">
        <f t="shared" si="79"/>
        <v>0.0002218286969</v>
      </c>
      <c r="I238" s="180">
        <f t="shared" si="79"/>
        <v>0.000007995401018</v>
      </c>
      <c r="J238" s="180">
        <f t="shared" si="79"/>
        <v>0.000009859482327</v>
      </c>
      <c r="K238" s="181">
        <f t="shared" si="79"/>
        <v>0.9996828272</v>
      </c>
      <c r="L238" s="2"/>
      <c r="M238" s="2"/>
      <c r="N238" s="2"/>
      <c r="O238" s="102"/>
      <c r="P238" s="2"/>
      <c r="Q238" s="2"/>
      <c r="R238" s="2"/>
      <c r="S238" s="2"/>
      <c r="T238" s="2"/>
      <c r="U238" s="2"/>
      <c r="V238" s="179">
        <f t="shared" ref="V238:Z238" si="80">EXP(V231+Y205)/SUMPRODUCT(EXP($V231:$Z231+$Y205:$AC205))
</f>
        <v>0.9521156554</v>
      </c>
      <c r="W238" s="180">
        <f t="shared" si="80"/>
        <v>0.04787404718</v>
      </c>
      <c r="X238" s="180">
        <f t="shared" si="80"/>
        <v>0.000003973047055</v>
      </c>
      <c r="Y238" s="180">
        <f t="shared" si="80"/>
        <v>0.000006302455947</v>
      </c>
      <c r="Z238" s="181">
        <f t="shared" si="80"/>
        <v>0.00000002191387828</v>
      </c>
      <c r="AA238" s="2"/>
      <c r="AB238" s="2"/>
      <c r="AC238" s="2"/>
    </row>
    <row r="239">
      <c r="B239" s="1"/>
      <c r="C239" s="2"/>
      <c r="D239" s="2"/>
      <c r="E239" s="2"/>
      <c r="F239" s="2"/>
      <c r="G239" s="2"/>
      <c r="H239" s="2"/>
      <c r="I239" s="98" t="s">
        <v>4</v>
      </c>
      <c r="J239" s="2"/>
      <c r="K239" s="2"/>
      <c r="L239" s="2"/>
      <c r="M239" s="2"/>
      <c r="N239" s="2"/>
      <c r="O239" s="102"/>
      <c r="P239" s="2"/>
      <c r="Q239" s="2"/>
      <c r="R239" s="2"/>
      <c r="S239" s="2"/>
      <c r="T239" s="2"/>
      <c r="U239" s="2"/>
      <c r="V239" s="2"/>
      <c r="W239" s="2"/>
      <c r="X239" s="98" t="s">
        <v>4</v>
      </c>
      <c r="Y239" s="2"/>
      <c r="Z239" s="2"/>
      <c r="AA239" s="2"/>
      <c r="AB239" s="2"/>
      <c r="AC239" s="2"/>
    </row>
    <row r="240">
      <c r="B240" s="1"/>
      <c r="C240" s="2"/>
      <c r="D240" s="2"/>
      <c r="E240" s="2"/>
      <c r="F240" s="2"/>
      <c r="G240" s="2"/>
      <c r="H240" s="2"/>
      <c r="I240" s="98" t="s">
        <v>4</v>
      </c>
      <c r="J240" s="2"/>
      <c r="K240" s="2"/>
      <c r="L240" s="2"/>
      <c r="M240" s="2"/>
      <c r="N240" s="2"/>
      <c r="O240" s="102"/>
      <c r="P240" s="2"/>
      <c r="Q240" s="2"/>
      <c r="R240" s="2"/>
      <c r="S240" s="2"/>
      <c r="T240" s="2"/>
      <c r="U240" s="2"/>
      <c r="V240" s="2"/>
      <c r="W240" s="2"/>
      <c r="X240" s="98" t="s">
        <v>4</v>
      </c>
      <c r="Y240" s="2"/>
      <c r="Z240" s="2"/>
      <c r="AA240" s="2"/>
      <c r="AB240" s="2"/>
      <c r="AC240" s="2"/>
    </row>
    <row r="241">
      <c r="B241" s="1"/>
      <c r="C241" s="2"/>
      <c r="D241" s="2"/>
      <c r="E241" s="2"/>
      <c r="F241" s="66" t="s">
        <v>54</v>
      </c>
      <c r="G241" s="7">
        <f t="array" ref="G241:K245">MMULT(J220:N224,G234:K238)</f>
        <v>6.546533686</v>
      </c>
      <c r="H241" s="8">
        <v>-1.7748367923883077</v>
      </c>
      <c r="I241" s="8">
        <v>0.002890805328733093</v>
      </c>
      <c r="J241" s="8">
        <v>3.2075921929429807E-6</v>
      </c>
      <c r="K241" s="9">
        <v>0.23176598524322042</v>
      </c>
      <c r="L241" s="2"/>
      <c r="M241" s="2"/>
      <c r="N241" s="2"/>
      <c r="O241" s="102"/>
      <c r="P241" s="2"/>
      <c r="Q241" s="2"/>
      <c r="R241" s="2"/>
      <c r="S241" s="2"/>
      <c r="T241" s="2"/>
      <c r="U241" s="66" t="s">
        <v>55</v>
      </c>
      <c r="V241" s="7">
        <f t="array" ref="V241:Z245">MMULT(Y220:AC224,V234:Z238)</f>
        <v>12.70603984</v>
      </c>
      <c r="W241" s="8">
        <v>2.3707131816064297</v>
      </c>
      <c r="X241" s="8">
        <v>1.691534082445539E-5</v>
      </c>
      <c r="Y241" s="8">
        <v>2.499896610082166E-5</v>
      </c>
      <c r="Z241" s="9">
        <v>8.692233379016173E-8</v>
      </c>
      <c r="AA241" s="2"/>
      <c r="AB241" s="2"/>
      <c r="AC241" s="2"/>
    </row>
    <row r="242">
      <c r="B242" s="1"/>
      <c r="C242" s="2"/>
      <c r="D242" s="2"/>
      <c r="E242" s="2"/>
      <c r="F242" s="2"/>
      <c r="G242" s="11">
        <v>4.758222035397334</v>
      </c>
      <c r="H242" s="10">
        <v>-2.526571677754339</v>
      </c>
      <c r="I242" s="10">
        <v>0.004102023928386758</v>
      </c>
      <c r="J242" s="10">
        <v>-6.1054649088425255E-6</v>
      </c>
      <c r="K242" s="12">
        <v>-0.6815428643929635</v>
      </c>
      <c r="L242" s="2"/>
      <c r="M242" s="2"/>
      <c r="N242" s="2"/>
      <c r="O242" s="102"/>
      <c r="P242" s="2"/>
      <c r="Q242" s="2"/>
      <c r="R242" s="2"/>
      <c r="S242" s="2"/>
      <c r="T242" s="2"/>
      <c r="U242" s="2"/>
      <c r="V242" s="11">
        <v>-5.594112473358096</v>
      </c>
      <c r="W242" s="10">
        <v>-0.4426220044971686</v>
      </c>
      <c r="X242" s="10">
        <v>-7.181042244735524E-6</v>
      </c>
      <c r="Y242" s="10">
        <v>-1.1065632283300119E-5</v>
      </c>
      <c r="Z242" s="12">
        <v>-3.847561219441003E-8</v>
      </c>
      <c r="AA242" s="2"/>
      <c r="AB242" s="2"/>
      <c r="AC242" s="2"/>
    </row>
    <row r="243">
      <c r="B243" s="1"/>
      <c r="C243" s="2"/>
      <c r="D243" s="2"/>
      <c r="E243" s="2"/>
      <c r="F243" s="2"/>
      <c r="G243" s="11">
        <v>0.2030885012613603</v>
      </c>
      <c r="H243" s="10">
        <v>1.8705286410225743</v>
      </c>
      <c r="I243" s="10">
        <v>-0.0020381174340881373</v>
      </c>
      <c r="J243" s="10">
        <v>1.8849929946159973E-5</v>
      </c>
      <c r="K243" s="12">
        <v>1.9040723855066122</v>
      </c>
      <c r="L243" s="2"/>
      <c r="M243" s="2"/>
      <c r="N243" s="2"/>
      <c r="O243" s="102"/>
      <c r="P243" s="2"/>
      <c r="Q243" s="2"/>
      <c r="R243" s="2"/>
      <c r="S243" s="2"/>
      <c r="T243" s="2"/>
      <c r="U243" s="2"/>
      <c r="V243" s="11">
        <v>-16.989662605817518</v>
      </c>
      <c r="W243" s="10">
        <v>-2.5572618011474484</v>
      </c>
      <c r="X243" s="10">
        <v>-2.8585545037124955E-5</v>
      </c>
      <c r="Y243" s="10">
        <v>-4.252878708372076E-5</v>
      </c>
      <c r="Z243" s="12">
        <v>-1.4787418288321662E-7</v>
      </c>
      <c r="AA243" s="2"/>
      <c r="AB243" s="2"/>
      <c r="AC243" s="2"/>
    </row>
    <row r="244">
      <c r="B244" s="1"/>
      <c r="C244" s="2"/>
      <c r="D244" s="2"/>
      <c r="E244" s="2"/>
      <c r="F244" s="2"/>
      <c r="G244" s="11">
        <v>6.709755795679352</v>
      </c>
      <c r="H244" s="10">
        <v>3.270370276848227</v>
      </c>
      <c r="I244" s="10">
        <v>0.002857487146454515</v>
      </c>
      <c r="J244" s="10">
        <v>2.6331158210732434E-5</v>
      </c>
      <c r="K244" s="12">
        <v>2.572335338476192</v>
      </c>
      <c r="L244" s="2"/>
      <c r="M244" s="2"/>
      <c r="N244" s="2"/>
      <c r="O244" s="102"/>
      <c r="P244" s="2"/>
      <c r="Q244" s="2"/>
      <c r="R244" s="2"/>
      <c r="S244" s="2"/>
      <c r="T244" s="2"/>
      <c r="U244" s="2"/>
      <c r="V244" s="11">
        <v>6.455059327147271</v>
      </c>
      <c r="W244" s="10">
        <v>1.6725747534015545</v>
      </c>
      <c r="X244" s="10">
        <v>1.3106242667714744E-5</v>
      </c>
      <c r="Y244" s="10">
        <v>2.1458704599573074E-5</v>
      </c>
      <c r="Z244" s="12">
        <v>7.461272304553212E-8</v>
      </c>
      <c r="AA244" s="2"/>
      <c r="AB244" s="2"/>
      <c r="AC244" s="2"/>
    </row>
    <row r="245">
      <c r="B245" s="1"/>
      <c r="C245" s="2"/>
      <c r="D245" s="2"/>
      <c r="E245" s="2"/>
      <c r="F245" s="2"/>
      <c r="G245" s="13">
        <v>7.005060343135642</v>
      </c>
      <c r="H245" s="14">
        <v>-0.2507223879301729</v>
      </c>
      <c r="I245" s="14">
        <v>0.001900735908981257</v>
      </c>
      <c r="J245" s="14">
        <v>7.23359756118907E-7</v>
      </c>
      <c r="K245" s="15">
        <v>-0.03143904255813593</v>
      </c>
      <c r="L245" s="2"/>
      <c r="M245" s="2"/>
      <c r="N245" s="2"/>
      <c r="O245" s="102"/>
      <c r="P245" s="2"/>
      <c r="Q245" s="2"/>
      <c r="R245" s="2"/>
      <c r="S245" s="2"/>
      <c r="T245" s="2"/>
      <c r="U245" s="2"/>
      <c r="V245" s="13">
        <v>15.628481835570444</v>
      </c>
      <c r="W245" s="14">
        <v>2.40446959363785</v>
      </c>
      <c r="X245" s="14">
        <v>2.1826748137757932E-5</v>
      </c>
      <c r="Y245" s="14">
        <v>3.394804747258501E-5</v>
      </c>
      <c r="Z245" s="15">
        <v>1.1803862256341492E-7</v>
      </c>
      <c r="AA245" s="2"/>
      <c r="AB245" s="2"/>
      <c r="AC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0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0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0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0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0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47" t="s">
        <v>56</v>
      </c>
      <c r="AA251" s="48"/>
      <c r="AB251" s="48"/>
      <c r="AC251" s="48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B258" s="1"/>
      <c r="C258" s="99" t="s">
        <v>54</v>
      </c>
      <c r="D258" s="2"/>
      <c r="E258" s="2"/>
      <c r="F258" s="2"/>
      <c r="G258" s="2"/>
      <c r="H258" s="2"/>
      <c r="I258" s="99" t="s">
        <v>55</v>
      </c>
      <c r="J258" s="2"/>
      <c r="K258" s="2"/>
      <c r="L258" s="2"/>
      <c r="M258" s="2"/>
      <c r="N258" s="2"/>
      <c r="O258" s="182" t="s">
        <v>57</v>
      </c>
      <c r="P258" s="41"/>
      <c r="Q258" s="41"/>
      <c r="R258" s="41"/>
      <c r="S258" s="41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C259" s="7">
        <f t="array" ref="C259:G263">G241:K245</f>
        <v>6.546533686</v>
      </c>
      <c r="D259" s="8">
        <v>-1.7748367923883077</v>
      </c>
      <c r="E259" s="8">
        <v>0.002890805328733093</v>
      </c>
      <c r="F259" s="8">
        <v>3.2075921929429807E-6</v>
      </c>
      <c r="G259" s="9">
        <v>0.23176598524322042</v>
      </c>
      <c r="H259" s="2"/>
      <c r="I259" s="7">
        <f t="array" ref="I259:M263">V241:Z245</f>
        <v>12.70603984</v>
      </c>
      <c r="J259" s="8">
        <v>2.3707131816064297</v>
      </c>
      <c r="K259" s="8">
        <v>1.691534082445539E-5</v>
      </c>
      <c r="L259" s="8">
        <v>2.499896610082166E-5</v>
      </c>
      <c r="M259" s="9">
        <v>8.692233379016173E-8</v>
      </c>
      <c r="N259" s="2"/>
      <c r="O259" s="183">
        <f t="shared" ref="O259:S259" si="81">NORMINV(rand(),0,2)</f>
        <v>0.01825727008</v>
      </c>
      <c r="P259" s="123">
        <f t="shared" si="81"/>
        <v>1.249729985</v>
      </c>
      <c r="Q259" s="123">
        <f t="shared" si="81"/>
        <v>-1.436430713</v>
      </c>
      <c r="R259" s="123">
        <f t="shared" si="81"/>
        <v>-5.970292224</v>
      </c>
      <c r="S259" s="184">
        <f t="shared" si="81"/>
        <v>-0.3262670644</v>
      </c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B260" s="2"/>
      <c r="C260" s="11">
        <v>4.758222035397334</v>
      </c>
      <c r="D260" s="10">
        <v>-2.526571677754339</v>
      </c>
      <c r="E260" s="10">
        <v>0.004102023928386758</v>
      </c>
      <c r="F260" s="10">
        <v>-6.1054649088425255E-6</v>
      </c>
      <c r="G260" s="12">
        <v>-0.6815428643929635</v>
      </c>
      <c r="H260" s="2"/>
      <c r="I260" s="11">
        <v>-5.594112473358096</v>
      </c>
      <c r="J260" s="10">
        <v>-0.4426220044971686</v>
      </c>
      <c r="K260" s="10">
        <v>-7.181042244735524E-6</v>
      </c>
      <c r="L260" s="10">
        <v>-1.1065632283300119E-5</v>
      </c>
      <c r="M260" s="12">
        <v>-3.847561219441003E-8</v>
      </c>
      <c r="N260" s="21" t="s">
        <v>58</v>
      </c>
      <c r="O260" s="185">
        <f t="shared" ref="O260:S260" si="82">NORMINV(rand(),0,2)</f>
        <v>-0.8637032345</v>
      </c>
      <c r="P260" s="186">
        <f t="shared" si="82"/>
        <v>4.630802429</v>
      </c>
      <c r="Q260" s="186">
        <f t="shared" si="82"/>
        <v>-0.2529740372</v>
      </c>
      <c r="R260" s="186">
        <f t="shared" si="82"/>
        <v>-1.503351567</v>
      </c>
      <c r="S260" s="187">
        <f t="shared" si="82"/>
        <v>-2.590213353</v>
      </c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B261" s="2"/>
      <c r="C261" s="11">
        <v>0.2030885012613603</v>
      </c>
      <c r="D261" s="10">
        <v>1.8705286410225743</v>
      </c>
      <c r="E261" s="10">
        <v>-0.0020381174340881373</v>
      </c>
      <c r="F261" s="10">
        <v>1.8849929946159973E-5</v>
      </c>
      <c r="G261" s="12">
        <v>1.9040723855066122</v>
      </c>
      <c r="H261" s="2"/>
      <c r="I261" s="11">
        <v>-16.989662605817518</v>
      </c>
      <c r="J261" s="10">
        <v>-2.5572618011474484</v>
      </c>
      <c r="K261" s="10">
        <v>-2.8585545037124955E-5</v>
      </c>
      <c r="L261" s="10">
        <v>-4.252878708372076E-5</v>
      </c>
      <c r="M261" s="12">
        <v>-1.4787418288321662E-7</v>
      </c>
      <c r="N261" s="2"/>
      <c r="O261" s="185">
        <f t="shared" ref="O261:S261" si="83">NORMINV(rand(),0,2)</f>
        <v>-0.3062127685</v>
      </c>
      <c r="P261" s="186">
        <f t="shared" si="83"/>
        <v>-1.442980326</v>
      </c>
      <c r="Q261" s="186">
        <f t="shared" si="83"/>
        <v>-3.149983377</v>
      </c>
      <c r="R261" s="186">
        <f t="shared" si="83"/>
        <v>1.436854207</v>
      </c>
      <c r="S261" s="187">
        <f t="shared" si="83"/>
        <v>3.604264044</v>
      </c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B262" s="2"/>
      <c r="C262" s="11">
        <v>6.709755795679352</v>
      </c>
      <c r="D262" s="10">
        <v>3.270370276848227</v>
      </c>
      <c r="E262" s="10">
        <v>0.002857487146454515</v>
      </c>
      <c r="F262" s="10">
        <v>2.6331158210732434E-5</v>
      </c>
      <c r="G262" s="12">
        <v>2.572335338476192</v>
      </c>
      <c r="H262" s="2"/>
      <c r="I262" s="11">
        <v>6.455059327147271</v>
      </c>
      <c r="J262" s="10">
        <v>1.6725747534015545</v>
      </c>
      <c r="K262" s="10">
        <v>1.3106242667714744E-5</v>
      </c>
      <c r="L262" s="10">
        <v>2.1458704599573074E-5</v>
      </c>
      <c r="M262" s="12">
        <v>7.461272304553212E-8</v>
      </c>
      <c r="N262" s="2"/>
      <c r="O262" s="185">
        <f t="shared" ref="O262:S262" si="84">NORMINV(rand(),0,2)</f>
        <v>1.743336053</v>
      </c>
      <c r="P262" s="186">
        <f t="shared" si="84"/>
        <v>-0.4708139882</v>
      </c>
      <c r="Q262" s="186">
        <f t="shared" si="84"/>
        <v>-2.853429733</v>
      </c>
      <c r="R262" s="186">
        <f t="shared" si="84"/>
        <v>0.8524235165</v>
      </c>
      <c r="S262" s="187">
        <f t="shared" si="84"/>
        <v>1.691770364</v>
      </c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B263" s="2"/>
      <c r="C263" s="13">
        <v>7.005060343135642</v>
      </c>
      <c r="D263" s="14">
        <v>-0.2507223879301729</v>
      </c>
      <c r="E263" s="14">
        <v>0.001900735908981257</v>
      </c>
      <c r="F263" s="14">
        <v>7.23359756118907E-7</v>
      </c>
      <c r="G263" s="15">
        <v>-0.03143904255813593</v>
      </c>
      <c r="H263" s="2"/>
      <c r="I263" s="13">
        <v>15.628481835570444</v>
      </c>
      <c r="J263" s="14">
        <v>2.40446959363785</v>
      </c>
      <c r="K263" s="14">
        <v>2.1826748137757932E-5</v>
      </c>
      <c r="L263" s="14">
        <v>3.394804747258501E-5</v>
      </c>
      <c r="M263" s="15">
        <v>1.1803862256341492E-7</v>
      </c>
      <c r="N263" s="2"/>
      <c r="O263" s="188">
        <f t="shared" ref="O263:S263" si="85">NORMINV(rand(),0,2)</f>
        <v>1.599388919</v>
      </c>
      <c r="P263" s="189">
        <f t="shared" si="85"/>
        <v>1.593970439</v>
      </c>
      <c r="Q263" s="189">
        <f t="shared" si="85"/>
        <v>2.637042751</v>
      </c>
      <c r="R263" s="189">
        <f t="shared" si="85"/>
        <v>-2.771912867</v>
      </c>
      <c r="S263" s="190">
        <f t="shared" si="85"/>
        <v>-1.348667004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B264" s="1"/>
      <c r="C264" s="2"/>
      <c r="D264" s="2"/>
      <c r="E264" s="2"/>
      <c r="F264" s="2"/>
      <c r="G264" s="98" t="s">
        <v>4</v>
      </c>
      <c r="H264" s="2"/>
      <c r="I264" s="2"/>
      <c r="J264" s="2"/>
      <c r="K264" s="67" t="s">
        <v>4</v>
      </c>
      <c r="L264" s="2"/>
      <c r="M264" s="2"/>
      <c r="N264" s="2"/>
      <c r="O264" s="3"/>
      <c r="P264" s="67" t="s">
        <v>4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B265" s="1"/>
      <c r="C265" s="2"/>
      <c r="D265" s="2"/>
      <c r="E265" s="2"/>
      <c r="F265" s="2"/>
      <c r="G265" s="98" t="s">
        <v>4</v>
      </c>
      <c r="H265" s="2"/>
      <c r="I265" s="2"/>
      <c r="J265" s="2"/>
      <c r="K265" s="67" t="s">
        <v>4</v>
      </c>
      <c r="L265" s="2"/>
      <c r="M265" s="2"/>
      <c r="N265" s="2"/>
      <c r="O265" s="3"/>
      <c r="P265" s="67" t="s">
        <v>4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B266" s="1"/>
      <c r="C266" s="2"/>
      <c r="D266" s="66" t="s">
        <v>59</v>
      </c>
      <c r="E266" s="7">
        <f t="array" ref="E266:I270">C259:G263</f>
        <v>6.546533686</v>
      </c>
      <c r="F266" s="8">
        <v>-1.7748367923883077</v>
      </c>
      <c r="G266" s="8">
        <v>0.002890805328733093</v>
      </c>
      <c r="H266" s="8">
        <v>3.2075921929429807E-6</v>
      </c>
      <c r="I266" s="8">
        <v>0.23176598524322042</v>
      </c>
      <c r="J266" s="7">
        <f t="array" ref="J266:N270">I259:M263</f>
        <v>12.70603984</v>
      </c>
      <c r="K266" s="8">
        <v>2.3707131816064297</v>
      </c>
      <c r="L266" s="8">
        <v>1.691534082445539E-5</v>
      </c>
      <c r="M266" s="8">
        <v>2.499896610082166E-5</v>
      </c>
      <c r="N266" s="8">
        <v>8.692233379016173E-8</v>
      </c>
      <c r="O266" s="7">
        <f t="array" ref="O266:S270">O259:S263</f>
        <v>0.01825727008</v>
      </c>
      <c r="P266" s="8">
        <v>1.2497299853777841</v>
      </c>
      <c r="Q266" s="8">
        <v>-1.4364307131987275</v>
      </c>
      <c r="R266" s="8">
        <v>-5.970292224179781</v>
      </c>
      <c r="S266" s="9">
        <v>-0.3262670644466057</v>
      </c>
      <c r="T266" s="2"/>
      <c r="U266" s="2"/>
      <c r="AB266" s="2"/>
      <c r="AC266" s="2"/>
    </row>
    <row r="267">
      <c r="B267" s="1"/>
      <c r="C267" s="2"/>
      <c r="D267" s="2"/>
      <c r="E267" s="11">
        <v>4.758222035397334</v>
      </c>
      <c r="F267" s="10">
        <v>-2.526571677754339</v>
      </c>
      <c r="G267" s="10">
        <v>0.004102023928386758</v>
      </c>
      <c r="H267" s="10">
        <v>-6.1054649088425255E-6</v>
      </c>
      <c r="I267" s="10">
        <v>-0.6815428643929635</v>
      </c>
      <c r="J267" s="11">
        <v>-5.594112473358096</v>
      </c>
      <c r="K267" s="10">
        <v>-0.4426220044971686</v>
      </c>
      <c r="L267" s="10">
        <v>-7.181042244735524E-6</v>
      </c>
      <c r="M267" s="10">
        <v>-1.1065632283300119E-5</v>
      </c>
      <c r="N267" s="10">
        <v>-3.847561219441003E-8</v>
      </c>
      <c r="O267" s="11">
        <v>-0.8637032345117168</v>
      </c>
      <c r="P267" s="10">
        <v>4.630802428939535</v>
      </c>
      <c r="Q267" s="10">
        <v>-0.2529740372061309</v>
      </c>
      <c r="R267" s="10">
        <v>-1.5033515673112445</v>
      </c>
      <c r="S267" s="12">
        <v>-2.59021335265878</v>
      </c>
      <c r="T267" s="2"/>
      <c r="U267" s="2"/>
      <c r="AB267" s="2"/>
      <c r="AC267" s="2"/>
    </row>
    <row r="268">
      <c r="B268" s="1"/>
      <c r="C268" s="2"/>
      <c r="D268" s="2"/>
      <c r="E268" s="11">
        <v>0.2030885012613603</v>
      </c>
      <c r="F268" s="10">
        <v>1.8705286410225743</v>
      </c>
      <c r="G268" s="10">
        <v>-0.0020381174340881373</v>
      </c>
      <c r="H268" s="10">
        <v>1.8849929946159973E-5</v>
      </c>
      <c r="I268" s="10">
        <v>1.9040723855066122</v>
      </c>
      <c r="J268" s="11">
        <v>-16.989662605817518</v>
      </c>
      <c r="K268" s="10">
        <v>-2.5572618011474484</v>
      </c>
      <c r="L268" s="10">
        <v>-2.8585545037124955E-5</v>
      </c>
      <c r="M268" s="10">
        <v>-4.252878708372076E-5</v>
      </c>
      <c r="N268" s="10">
        <v>-1.4787418288321662E-7</v>
      </c>
      <c r="O268" s="11">
        <v>-0.3062127684766724</v>
      </c>
      <c r="P268" s="10">
        <v>-1.4429803257055647</v>
      </c>
      <c r="Q268" s="10">
        <v>-3.1499833768036196</v>
      </c>
      <c r="R268" s="10">
        <v>1.4368542070194472</v>
      </c>
      <c r="S268" s="12">
        <v>3.604264043707825</v>
      </c>
      <c r="T268" s="2"/>
      <c r="U268" s="2"/>
      <c r="AB268" s="2"/>
      <c r="AC268" s="2"/>
    </row>
    <row r="269">
      <c r="B269" s="1"/>
      <c r="C269" s="2"/>
      <c r="D269" s="2"/>
      <c r="E269" s="11">
        <v>6.709755795679352</v>
      </c>
      <c r="F269" s="10">
        <v>3.270370276848227</v>
      </c>
      <c r="G269" s="10">
        <v>0.002857487146454515</v>
      </c>
      <c r="H269" s="10">
        <v>2.6331158210732434E-5</v>
      </c>
      <c r="I269" s="10">
        <v>2.572335338476192</v>
      </c>
      <c r="J269" s="11">
        <v>6.455059327147271</v>
      </c>
      <c r="K269" s="10">
        <v>1.6725747534015545</v>
      </c>
      <c r="L269" s="10">
        <v>1.3106242667714744E-5</v>
      </c>
      <c r="M269" s="10">
        <v>2.1458704599573074E-5</v>
      </c>
      <c r="N269" s="10">
        <v>7.461272304553212E-8</v>
      </c>
      <c r="O269" s="11">
        <v>1.7433360525369892</v>
      </c>
      <c r="P269" s="10">
        <v>-0.4708139881978949</v>
      </c>
      <c r="Q269" s="10">
        <v>-2.8534297326009743</v>
      </c>
      <c r="R269" s="10">
        <v>0.8524235164503778</v>
      </c>
      <c r="S269" s="12">
        <v>1.691770364159829</v>
      </c>
      <c r="T269" s="2"/>
      <c r="U269" s="2"/>
      <c r="AB269" s="2"/>
      <c r="AC269" s="2"/>
    </row>
    <row r="270">
      <c r="B270" s="1"/>
      <c r="C270" s="2"/>
      <c r="D270" s="2"/>
      <c r="E270" s="13">
        <v>7.005060343135642</v>
      </c>
      <c r="F270" s="14">
        <v>-0.2507223879301729</v>
      </c>
      <c r="G270" s="14">
        <v>0.001900735908981257</v>
      </c>
      <c r="H270" s="14">
        <v>7.23359756118907E-7</v>
      </c>
      <c r="I270" s="14">
        <v>-0.03143904255813593</v>
      </c>
      <c r="J270" s="13">
        <v>15.628481835570444</v>
      </c>
      <c r="K270" s="14">
        <v>2.40446959363785</v>
      </c>
      <c r="L270" s="14">
        <v>2.1826748137757932E-5</v>
      </c>
      <c r="M270" s="14">
        <v>3.394804747258501E-5</v>
      </c>
      <c r="N270" s="14">
        <v>1.1803862256341492E-7</v>
      </c>
      <c r="O270" s="13">
        <v>1.5993889191370327</v>
      </c>
      <c r="P270" s="14">
        <v>1.5939704389043448</v>
      </c>
      <c r="Q270" s="14">
        <v>2.637042750757154</v>
      </c>
      <c r="R270" s="14">
        <v>-2.771912866785298</v>
      </c>
      <c r="S270" s="15">
        <v>-1.3486670038109665</v>
      </c>
      <c r="T270" s="2"/>
      <c r="U270" s="2"/>
      <c r="AB270" s="2"/>
      <c r="AC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67" t="s">
        <v>4</v>
      </c>
      <c r="O271" s="3"/>
      <c r="P271" s="2"/>
      <c r="Q271" s="2"/>
      <c r="R271" s="2"/>
      <c r="S271" s="2"/>
      <c r="T271" s="2"/>
      <c r="U271" s="2"/>
      <c r="AB271" s="2"/>
      <c r="AC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67" t="s">
        <v>4</v>
      </c>
      <c r="O272" s="3"/>
      <c r="P272" s="2"/>
      <c r="Q272" s="2"/>
      <c r="R272" s="2"/>
      <c r="S272" s="2"/>
      <c r="T272" s="2"/>
      <c r="U272" s="2"/>
      <c r="AB272" s="2"/>
      <c r="AC272" s="2"/>
    </row>
    <row r="273">
      <c r="B273" s="1"/>
      <c r="C273" s="2"/>
      <c r="D273" s="66" t="s">
        <v>60</v>
      </c>
      <c r="E273" s="7">
        <f t="shared" ref="E273:I273" si="86">NORMINV(rand(),0, 1)</f>
        <v>1.082140304</v>
      </c>
      <c r="F273" s="8">
        <f t="shared" si="86"/>
        <v>0.6950530726</v>
      </c>
      <c r="G273" s="8">
        <f t="shared" si="86"/>
        <v>0.01787036438</v>
      </c>
      <c r="H273" s="8">
        <f t="shared" si="86"/>
        <v>-0.4030459298</v>
      </c>
      <c r="I273" s="9">
        <f t="shared" si="86"/>
        <v>0.04158371586</v>
      </c>
      <c r="J273" s="2"/>
      <c r="K273" s="66" t="s">
        <v>61</v>
      </c>
      <c r="L273" s="191">
        <f t="array" ref="L273:P277">MMULT(E266:S270, E273:I287)</f>
        <v>21.96559562</v>
      </c>
      <c r="M273" s="8">
        <v>15.64811282046025</v>
      </c>
      <c r="N273" s="8">
        <v>-4.982503246586042</v>
      </c>
      <c r="O273" s="8">
        <v>-13.768972314138772</v>
      </c>
      <c r="P273" s="9">
        <v>19.304413175760235</v>
      </c>
      <c r="Q273" s="10"/>
      <c r="R273" s="10"/>
      <c r="S273" s="10"/>
      <c r="T273" s="10"/>
      <c r="U273" s="10"/>
      <c r="V273" s="192"/>
      <c r="W273" s="192"/>
      <c r="X273" s="192"/>
      <c r="Y273" s="192"/>
      <c r="Z273" s="192"/>
      <c r="AB273" s="2"/>
      <c r="AC273" s="2"/>
    </row>
    <row r="274">
      <c r="B274" s="1"/>
      <c r="C274" s="2"/>
      <c r="D274" s="2"/>
      <c r="E274" s="11">
        <f t="shared" ref="E274:I274" si="87">NORMINV(rand(),0, 1)</f>
        <v>0.5197526871</v>
      </c>
      <c r="F274" s="10">
        <f t="shared" si="87"/>
        <v>-0.3468813188</v>
      </c>
      <c r="G274" s="10">
        <f t="shared" si="87"/>
        <v>-0.7435782538</v>
      </c>
      <c r="H274" s="10">
        <f t="shared" si="87"/>
        <v>-1.115707151</v>
      </c>
      <c r="I274" s="12">
        <f t="shared" si="87"/>
        <v>-1.52254456</v>
      </c>
      <c r="J274" s="2"/>
      <c r="K274" s="2"/>
      <c r="L274" s="11">
        <v>6.969552300484325</v>
      </c>
      <c r="M274" s="10">
        <v>2.046641632171969</v>
      </c>
      <c r="N274" s="10">
        <v>0.986063770465317</v>
      </c>
      <c r="O274" s="10">
        <v>16.104309634116568</v>
      </c>
      <c r="P274" s="12">
        <v>-2.4200574729801856</v>
      </c>
      <c r="Q274" s="10"/>
      <c r="R274" s="10"/>
      <c r="S274" s="10"/>
      <c r="T274" s="10"/>
      <c r="U274" s="10"/>
      <c r="V274" s="192"/>
      <c r="W274" s="192"/>
      <c r="X274" s="192"/>
      <c r="Y274" s="192"/>
      <c r="Z274" s="192"/>
      <c r="AB274" s="2"/>
      <c r="AC274" s="2"/>
    </row>
    <row r="275">
      <c r="B275" s="1"/>
      <c r="C275" s="2"/>
      <c r="D275" s="2"/>
      <c r="E275" s="11">
        <f t="shared" ref="E275:I275" si="88">NORMINV(rand(),0, 1)</f>
        <v>0.4269144645</v>
      </c>
      <c r="F275" s="10">
        <f t="shared" si="88"/>
        <v>-1.139851003</v>
      </c>
      <c r="G275" s="10">
        <f t="shared" si="88"/>
        <v>-0.8073453547</v>
      </c>
      <c r="H275" s="10">
        <f t="shared" si="88"/>
        <v>-2.322963019</v>
      </c>
      <c r="I275" s="12">
        <f t="shared" si="88"/>
        <v>0.5661792792</v>
      </c>
      <c r="J275" s="67" t="s">
        <v>8</v>
      </c>
      <c r="K275" s="67" t="s">
        <v>8</v>
      </c>
      <c r="L275" s="11">
        <v>-13.619649403983683</v>
      </c>
      <c r="M275" s="10">
        <v>-6.690215016297207</v>
      </c>
      <c r="N275" s="10">
        <v>17.675359210040654</v>
      </c>
      <c r="O275" s="10">
        <v>24.361705319315703</v>
      </c>
      <c r="P275" s="12">
        <v>-23.864704725684973</v>
      </c>
      <c r="Q275" s="10"/>
      <c r="R275" s="10"/>
      <c r="S275" s="10"/>
      <c r="T275" s="10"/>
      <c r="U275" s="10"/>
      <c r="V275" s="192"/>
      <c r="W275" s="192"/>
      <c r="X275" s="192"/>
      <c r="Y275" s="192"/>
      <c r="Z275" s="192"/>
      <c r="AB275" s="2"/>
      <c r="AC275" s="2"/>
    </row>
    <row r="276">
      <c r="B276" s="1"/>
      <c r="C276" s="2"/>
      <c r="D276" s="2"/>
      <c r="E276" s="11">
        <f t="shared" ref="E276:I276" si="89">NORMINV(rand(),0, 1)</f>
        <v>-1.265486647</v>
      </c>
      <c r="F276" s="10">
        <f t="shared" si="89"/>
        <v>-0.09891490868</v>
      </c>
      <c r="G276" s="10">
        <f t="shared" si="89"/>
        <v>0.1160435982</v>
      </c>
      <c r="H276" s="10">
        <f t="shared" si="89"/>
        <v>-0.1802036713</v>
      </c>
      <c r="I276" s="12">
        <f t="shared" si="89"/>
        <v>-1.335948496</v>
      </c>
      <c r="J276" s="2"/>
      <c r="K276" s="2"/>
      <c r="L276" s="11">
        <v>19.150433338937656</v>
      </c>
      <c r="M276" s="10">
        <v>10.515460627531429</v>
      </c>
      <c r="N276" s="10">
        <v>-4.063148462530146</v>
      </c>
      <c r="O276" s="10">
        <v>-14.218096332035994</v>
      </c>
      <c r="P276" s="12">
        <v>5.455613826880158</v>
      </c>
      <c r="Q276" s="10"/>
      <c r="R276" s="10"/>
      <c r="S276" s="10"/>
      <c r="T276" s="10"/>
      <c r="U276" s="10"/>
      <c r="V276" s="192"/>
      <c r="W276" s="192"/>
      <c r="X276" s="192"/>
      <c r="Y276" s="192"/>
      <c r="Z276" s="192"/>
      <c r="AB276" s="2"/>
      <c r="AC276" s="2"/>
    </row>
    <row r="277">
      <c r="B277" s="1"/>
      <c r="C277" s="2"/>
      <c r="D277" s="2"/>
      <c r="E277" s="11">
        <f t="shared" ref="E277:I277" si="90">NORMINV(rand(),0, 1)</f>
        <v>-0.1044464601</v>
      </c>
      <c r="F277" s="10">
        <f t="shared" si="90"/>
        <v>-0.5168982504</v>
      </c>
      <c r="G277" s="10">
        <f t="shared" si="90"/>
        <v>-0.8999375042</v>
      </c>
      <c r="H277" s="10">
        <f t="shared" si="90"/>
        <v>0.3024654982</v>
      </c>
      <c r="I277" s="12">
        <f t="shared" si="90"/>
        <v>1.290051657</v>
      </c>
      <c r="J277" s="2"/>
      <c r="K277" s="2"/>
      <c r="L277" s="13">
        <v>24.35630190838052</v>
      </c>
      <c r="M277" s="14">
        <v>15.297216324652345</v>
      </c>
      <c r="N277" s="14">
        <v>-13.447172293018454</v>
      </c>
      <c r="O277" s="14">
        <v>-26.19234653969528</v>
      </c>
      <c r="P277" s="15">
        <v>22.726385453862783</v>
      </c>
      <c r="Q277" s="10"/>
      <c r="R277" s="10"/>
      <c r="S277" s="10"/>
      <c r="T277" s="10"/>
      <c r="U277" s="10"/>
      <c r="V277" s="192"/>
      <c r="W277" s="192"/>
      <c r="X277" s="192"/>
      <c r="Y277" s="192"/>
      <c r="Z277" s="192"/>
      <c r="AB277" s="2"/>
      <c r="AC277" s="2"/>
    </row>
    <row r="278">
      <c r="B278" s="1"/>
      <c r="C278" s="2"/>
      <c r="D278" s="2"/>
      <c r="E278" s="11">
        <f t="shared" ref="E278:I278" si="91">NORMINV(rand(),0, 1)</f>
        <v>0.6289797058</v>
      </c>
      <c r="F278" s="10">
        <f t="shared" si="91"/>
        <v>0.5563175095</v>
      </c>
      <c r="G278" s="10">
        <f t="shared" si="91"/>
        <v>-0.5598581789</v>
      </c>
      <c r="H278" s="10">
        <f t="shared" si="91"/>
        <v>-1.537972298</v>
      </c>
      <c r="I278" s="12">
        <f t="shared" si="91"/>
        <v>1.614027632</v>
      </c>
      <c r="J278" s="2"/>
      <c r="K278" s="2"/>
      <c r="L278" s="10"/>
      <c r="M278" s="10"/>
      <c r="N278" s="10"/>
      <c r="O278" s="18"/>
      <c r="P278" s="10"/>
      <c r="Q278" s="10"/>
      <c r="R278" s="10"/>
      <c r="S278" s="10"/>
      <c r="T278" s="10"/>
      <c r="U278" s="10"/>
      <c r="V278" s="192"/>
      <c r="W278" s="192"/>
      <c r="X278" s="192"/>
      <c r="Y278" s="192"/>
      <c r="Z278" s="192"/>
      <c r="AB278" s="2"/>
      <c r="AC278" s="2"/>
    </row>
    <row r="279">
      <c r="B279" s="1"/>
      <c r="C279" s="2"/>
      <c r="D279" s="2"/>
      <c r="E279" s="11">
        <f t="shared" ref="E279:I279" si="92">NORMINV(rand(),0, 1)</f>
        <v>1.404554343</v>
      </c>
      <c r="F279" s="10">
        <f t="shared" si="92"/>
        <v>0.4269858802</v>
      </c>
      <c r="G279" s="10">
        <f t="shared" si="92"/>
        <v>-0.7120375281</v>
      </c>
      <c r="H279" s="10">
        <f t="shared" si="92"/>
        <v>0.7669721795</v>
      </c>
      <c r="I279" s="12">
        <f t="shared" si="92"/>
        <v>-1.875339794</v>
      </c>
      <c r="J279" s="2"/>
      <c r="K279" s="2"/>
      <c r="L279" s="10"/>
      <c r="M279" s="10"/>
      <c r="N279" s="10"/>
      <c r="O279" s="18"/>
      <c r="P279" s="10"/>
      <c r="Q279" s="10"/>
      <c r="R279" s="10"/>
      <c r="S279" s="10"/>
      <c r="T279" s="10"/>
      <c r="U279" s="10"/>
      <c r="V279" s="192"/>
      <c r="W279" s="192"/>
      <c r="X279" s="192"/>
      <c r="Y279" s="192"/>
      <c r="Z279" s="192"/>
      <c r="AB279" s="2"/>
      <c r="AC279" s="2"/>
    </row>
    <row r="280">
      <c r="B280" s="1"/>
      <c r="C280" s="2"/>
      <c r="D280" s="2"/>
      <c r="E280" s="11">
        <f t="shared" ref="E280:I280" si="93">NORMINV(rand(),0, 1)</f>
        <v>-0.03219862491</v>
      </c>
      <c r="F280" s="10">
        <f t="shared" si="93"/>
        <v>0.6789267073</v>
      </c>
      <c r="G280" s="10">
        <f t="shared" si="93"/>
        <v>-0.5401881959</v>
      </c>
      <c r="H280" s="10">
        <f t="shared" si="93"/>
        <v>0.5330963993</v>
      </c>
      <c r="I280" s="12">
        <f t="shared" si="93"/>
        <v>-1.620567046</v>
      </c>
      <c r="J280" s="2"/>
      <c r="K280" s="2"/>
      <c r="L280" s="10"/>
      <c r="M280" s="10"/>
      <c r="N280" s="10"/>
      <c r="O280" s="18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2"/>
      <c r="AB280" s="2"/>
      <c r="AC280" s="2"/>
    </row>
    <row r="281">
      <c r="B281" s="1"/>
      <c r="C281" s="2"/>
      <c r="D281" s="2"/>
      <c r="E281" s="11">
        <f t="shared" ref="E281:I281" si="94">NORMINV(rand(),0, 1)</f>
        <v>-0.6712567121</v>
      </c>
      <c r="F281" s="10">
        <f t="shared" si="94"/>
        <v>-0.04954337573</v>
      </c>
      <c r="G281" s="10">
        <f t="shared" si="94"/>
        <v>-0.271185454</v>
      </c>
      <c r="H281" s="10">
        <f t="shared" si="94"/>
        <v>1.263424457</v>
      </c>
      <c r="I281" s="12">
        <f t="shared" si="94"/>
        <v>-2.812051567</v>
      </c>
      <c r="J281" s="2"/>
      <c r="K281" s="2"/>
      <c r="L281" s="10"/>
      <c r="M281" s="10"/>
      <c r="N281" s="10"/>
      <c r="O281" s="18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2"/>
      <c r="AB281" s="2"/>
      <c r="AC281" s="2"/>
    </row>
    <row r="282">
      <c r="B282" s="1"/>
      <c r="C282" s="2"/>
      <c r="D282" s="2"/>
      <c r="E282" s="11">
        <f t="shared" ref="E282:I282" si="95">NORMINV(rand(),0, 1)</f>
        <v>-0.1068856197</v>
      </c>
      <c r="F282" s="10">
        <f t="shared" si="95"/>
        <v>3.265440994</v>
      </c>
      <c r="G282" s="10">
        <f t="shared" si="95"/>
        <v>-0.4750106884</v>
      </c>
      <c r="H282" s="10">
        <f t="shared" si="95"/>
        <v>0.1304587313</v>
      </c>
      <c r="I282" s="12">
        <f t="shared" si="95"/>
        <v>-0.9862870788</v>
      </c>
      <c r="J282" s="2"/>
      <c r="K282" s="2"/>
      <c r="L282" s="10"/>
      <c r="M282" s="10"/>
      <c r="N282" s="10"/>
      <c r="O282" s="18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2"/>
      <c r="AB282" s="2"/>
      <c r="AC282" s="2"/>
    </row>
    <row r="283">
      <c r="B283" s="1"/>
      <c r="C283" s="2"/>
      <c r="D283" s="2"/>
      <c r="E283" s="11">
        <f t="shared" ref="E283:I283" si="96">NORMINV(rand(),0, 1)</f>
        <v>1.510378415</v>
      </c>
      <c r="F283" s="10">
        <f t="shared" si="96"/>
        <v>0.5811807161</v>
      </c>
      <c r="G283" s="10">
        <f t="shared" si="96"/>
        <v>0.09301938765</v>
      </c>
      <c r="H283" s="10">
        <f t="shared" si="96"/>
        <v>-1.156457412</v>
      </c>
      <c r="I283" s="12">
        <f t="shared" si="96"/>
        <v>0.0652697208</v>
      </c>
      <c r="J283" s="2"/>
      <c r="K283" s="2"/>
      <c r="L283" s="10"/>
      <c r="M283" s="10"/>
      <c r="N283" s="10"/>
      <c r="O283" s="18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2"/>
      <c r="AB283" s="2"/>
      <c r="AC283" s="2"/>
    </row>
    <row r="284">
      <c r="B284" s="1"/>
      <c r="C284" s="2"/>
      <c r="D284" s="2"/>
      <c r="E284" s="11">
        <f t="shared" ref="E284:I284" si="97">NORMINV(rand(),0, 1)</f>
        <v>1.853697961</v>
      </c>
      <c r="F284" s="10">
        <f t="shared" si="97"/>
        <v>1.356288708</v>
      </c>
      <c r="G284" s="10">
        <f t="shared" si="97"/>
        <v>0.04071482172</v>
      </c>
      <c r="H284" s="10">
        <f t="shared" si="97"/>
        <v>1.388383659</v>
      </c>
      <c r="I284" s="12">
        <f t="shared" si="97"/>
        <v>0.7613464863</v>
      </c>
      <c r="J284" s="2"/>
      <c r="K284" s="2"/>
      <c r="L284" s="10"/>
      <c r="M284" s="10"/>
      <c r="N284" s="10"/>
      <c r="O284" s="18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2"/>
      <c r="AB284" s="2"/>
      <c r="AC284" s="2"/>
    </row>
    <row r="285">
      <c r="B285" s="1"/>
      <c r="C285" s="2"/>
      <c r="D285" s="2"/>
      <c r="E285" s="11">
        <f t="shared" ref="E285:I285" si="98">NORMINV(rand(),0, 1)</f>
        <v>-0.7323338282</v>
      </c>
      <c r="F285" s="10">
        <f t="shared" si="98"/>
        <v>-0.1224899719</v>
      </c>
      <c r="G285" s="10">
        <f t="shared" si="98"/>
        <v>-0.6016801447</v>
      </c>
      <c r="H285" s="10">
        <f t="shared" si="98"/>
        <v>-0.815274005</v>
      </c>
      <c r="I285" s="12">
        <f t="shared" si="98"/>
        <v>0.2484796917</v>
      </c>
      <c r="J285" s="2"/>
      <c r="K285" s="2"/>
      <c r="L285" s="10"/>
      <c r="M285" s="10"/>
      <c r="N285" s="10"/>
      <c r="O285" s="18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2"/>
      <c r="AB285" s="2"/>
      <c r="AC285" s="2"/>
    </row>
    <row r="286">
      <c r="B286" s="1"/>
      <c r="C286" s="2"/>
      <c r="D286" s="2"/>
      <c r="E286" s="11">
        <f t="shared" ref="E286:I286" si="99">NORMINV(rand(),0, 1)</f>
        <v>-0.1975898532</v>
      </c>
      <c r="F286" s="10">
        <f t="shared" si="99"/>
        <v>-0.2200163489</v>
      </c>
      <c r="G286" s="10">
        <f t="shared" si="99"/>
        <v>-0.4053773308</v>
      </c>
      <c r="H286" s="10">
        <f t="shared" si="99"/>
        <v>-0.2983199272</v>
      </c>
      <c r="I286" s="12">
        <f t="shared" si="99"/>
        <v>0.09136625621</v>
      </c>
      <c r="J286" s="2"/>
      <c r="K286" s="2"/>
      <c r="L286" s="10"/>
      <c r="M286" s="10"/>
      <c r="N286" s="10"/>
      <c r="O286" s="18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2"/>
      <c r="AB286" s="2"/>
      <c r="AC286" s="2"/>
    </row>
    <row r="287">
      <c r="B287" s="1"/>
      <c r="C287" s="2"/>
      <c r="D287" s="2"/>
      <c r="E287" s="13">
        <f t="shared" ref="E287:I287" si="100">NORMINV(rand(),0, 1)</f>
        <v>0.2165456148</v>
      </c>
      <c r="F287" s="14">
        <f t="shared" si="100"/>
        <v>2.055427022</v>
      </c>
      <c r="G287" s="14">
        <f t="shared" si="100"/>
        <v>2.279588249</v>
      </c>
      <c r="H287" s="14">
        <f t="shared" si="100"/>
        <v>0.3583234675</v>
      </c>
      <c r="I287" s="15">
        <f t="shared" si="100"/>
        <v>0.2540174707</v>
      </c>
      <c r="J287" s="2"/>
      <c r="K287" s="2"/>
      <c r="L287" s="2"/>
      <c r="M287" s="2"/>
      <c r="N287" s="2"/>
      <c r="O287" s="3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47" t="s">
        <v>63</v>
      </c>
      <c r="AA289" s="48"/>
      <c r="AB289" s="48"/>
      <c r="AC289" s="48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B291" s="1"/>
      <c r="C291" s="2"/>
      <c r="D291" s="2"/>
      <c r="E291" s="2"/>
      <c r="F291" s="2"/>
      <c r="G291" s="2"/>
      <c r="H291" s="2"/>
      <c r="L291" s="6" t="s">
        <v>2</v>
      </c>
      <c r="M291" s="7">
        <f t="array" ref="M291:Q295">$J$12:$N$16</f>
        <v>0.08332859723</v>
      </c>
      <c r="N291" s="8">
        <v>0.6014811281828485</v>
      </c>
      <c r="O291" s="8">
        <v>1.7747655247078629</v>
      </c>
      <c r="P291" s="8">
        <v>2.5140316820295086</v>
      </c>
      <c r="Q291" s="9">
        <v>1.968456459689384</v>
      </c>
      <c r="U291" s="2"/>
      <c r="X291" s="34" t="s">
        <v>28</v>
      </c>
      <c r="Y291" s="49">
        <v>0.0</v>
      </c>
      <c r="Z291" s="50">
        <v>-99.0</v>
      </c>
      <c r="AA291" s="50">
        <v>-99.0</v>
      </c>
      <c r="AB291" s="50">
        <v>-99.0</v>
      </c>
      <c r="AC291" s="51">
        <v>-99.0</v>
      </c>
    </row>
    <row r="292">
      <c r="B292" s="1"/>
      <c r="C292" s="2"/>
      <c r="D292" s="2"/>
      <c r="E292" s="2"/>
      <c r="F292" s="2"/>
      <c r="G292" s="2"/>
      <c r="H292" s="2"/>
      <c r="L292" s="6" t="s">
        <v>3</v>
      </c>
      <c r="M292" s="11">
        <v>-0.12628835250822928</v>
      </c>
      <c r="N292" s="10">
        <v>-1.1251681837560528</v>
      </c>
      <c r="O292" s="10">
        <v>0.6655394607294783</v>
      </c>
      <c r="P292" s="10">
        <v>0.9094515017955629</v>
      </c>
      <c r="Q292" s="12">
        <v>-1.8718149699866216</v>
      </c>
      <c r="U292" s="2"/>
      <c r="X292" s="34" t="s">
        <v>31</v>
      </c>
      <c r="Y292" s="55">
        <v>0.0</v>
      </c>
      <c r="Z292" s="56">
        <v>0.0</v>
      </c>
      <c r="AA292" s="57">
        <v>-99.0</v>
      </c>
      <c r="AB292" s="57">
        <v>-99.0</v>
      </c>
      <c r="AC292" s="58">
        <v>-99.0</v>
      </c>
    </row>
    <row r="293">
      <c r="B293" s="1"/>
      <c r="C293" s="2"/>
      <c r="D293" s="2"/>
      <c r="E293" s="100"/>
      <c r="F293" s="100"/>
      <c r="G293" s="100" t="s">
        <v>41</v>
      </c>
      <c r="H293" s="100" t="s">
        <v>41</v>
      </c>
      <c r="I293" s="100" t="s">
        <v>41</v>
      </c>
      <c r="J293" s="100" t="s">
        <v>41</v>
      </c>
      <c r="K293" s="100" t="s">
        <v>41</v>
      </c>
      <c r="L293" s="100" t="s">
        <v>41</v>
      </c>
      <c r="M293" s="11">
        <v>0.14562554314926865</v>
      </c>
      <c r="N293" s="10">
        <v>-0.7510483641409386</v>
      </c>
      <c r="O293" s="10">
        <v>-0.9436076064986235</v>
      </c>
      <c r="P293" s="10">
        <v>-1.0737562835030203</v>
      </c>
      <c r="Q293" s="12">
        <v>-0.2327911300818983</v>
      </c>
      <c r="R293" s="101" t="s">
        <v>8</v>
      </c>
      <c r="S293" s="101" t="s">
        <v>8</v>
      </c>
      <c r="T293" s="101" t="s">
        <v>8</v>
      </c>
      <c r="U293" s="101" t="s">
        <v>8</v>
      </c>
      <c r="V293" s="101" t="s">
        <v>8</v>
      </c>
      <c r="W293" s="101" t="s">
        <v>8</v>
      </c>
      <c r="X293" s="41"/>
      <c r="Y293" s="55">
        <v>0.0</v>
      </c>
      <c r="Z293" s="56">
        <v>0.0</v>
      </c>
      <c r="AA293" s="56">
        <v>0.0</v>
      </c>
      <c r="AB293" s="57">
        <v>-99.0</v>
      </c>
      <c r="AC293" s="58">
        <v>-99.0</v>
      </c>
    </row>
    <row r="294">
      <c r="B294" s="1"/>
      <c r="C294" s="2"/>
      <c r="D294" s="2"/>
      <c r="F294" s="2"/>
      <c r="G294" s="21" t="s">
        <v>4</v>
      </c>
      <c r="H294" s="2"/>
      <c r="L294" s="1"/>
      <c r="M294" s="11">
        <v>0.1242374278008953</v>
      </c>
      <c r="N294" s="10">
        <v>-0.836610800512334</v>
      </c>
      <c r="O294" s="10">
        <v>0.8622424189521523</v>
      </c>
      <c r="P294" s="10">
        <v>1.144052817641033</v>
      </c>
      <c r="Q294" s="12">
        <v>0.8220727180965955</v>
      </c>
      <c r="U294" s="21"/>
      <c r="W294" s="21" t="s">
        <v>4</v>
      </c>
      <c r="X294" s="41"/>
      <c r="Y294" s="55">
        <v>0.0</v>
      </c>
      <c r="Z294" s="56">
        <v>0.0</v>
      </c>
      <c r="AA294" s="56">
        <v>0.0</v>
      </c>
      <c r="AB294" s="56">
        <v>0.0</v>
      </c>
      <c r="AC294" s="58">
        <v>-99.0</v>
      </c>
    </row>
    <row r="295">
      <c r="B295" s="1"/>
      <c r="C295" s="2"/>
      <c r="D295" s="2"/>
      <c r="F295" s="2"/>
      <c r="G295" s="21" t="s">
        <v>4</v>
      </c>
      <c r="H295" s="2"/>
      <c r="L295" s="1"/>
      <c r="M295" s="13">
        <v>0.7024054143034535</v>
      </c>
      <c r="N295" s="14">
        <v>1.157764600553636</v>
      </c>
      <c r="O295" s="14">
        <v>-0.5813737977522885</v>
      </c>
      <c r="P295" s="14">
        <v>1.066374716086232</v>
      </c>
      <c r="Q295" s="15">
        <v>-0.22941327020344043</v>
      </c>
      <c r="U295" s="21"/>
      <c r="W295" s="21" t="s">
        <v>4</v>
      </c>
      <c r="X295" s="41"/>
      <c r="Y295" s="62">
        <v>0.0</v>
      </c>
      <c r="Z295" s="63">
        <v>0.0</v>
      </c>
      <c r="AA295" s="63">
        <v>0.0</v>
      </c>
      <c r="AB295" s="63">
        <v>0.0</v>
      </c>
      <c r="AC295" s="64">
        <v>0.0</v>
      </c>
    </row>
    <row r="296">
      <c r="B296" s="1"/>
      <c r="C296" s="2"/>
      <c r="D296" s="2"/>
      <c r="F296" s="2"/>
      <c r="G296" s="21" t="s">
        <v>4</v>
      </c>
      <c r="H296" s="2"/>
      <c r="J296" s="2"/>
      <c r="K296" s="2"/>
      <c r="L296" s="2"/>
      <c r="M296" s="2"/>
      <c r="N296" s="2"/>
      <c r="O296" s="3"/>
      <c r="P296" s="2"/>
      <c r="Q296" s="2"/>
      <c r="R296" s="2"/>
      <c r="S296" s="2"/>
      <c r="T296" s="2"/>
      <c r="U296" s="21"/>
      <c r="V296" s="2"/>
      <c r="W296" s="21" t="s">
        <v>4</v>
      </c>
      <c r="X296" s="2"/>
      <c r="Y296" s="2"/>
      <c r="Z296" s="2"/>
      <c r="AA296" s="2"/>
      <c r="AB296" s="2"/>
      <c r="AC296" s="2"/>
    </row>
    <row r="297">
      <c r="B297" s="1"/>
      <c r="C297" s="2"/>
      <c r="D297" s="2"/>
      <c r="F297" s="2"/>
      <c r="G297" s="21" t="s">
        <v>4</v>
      </c>
      <c r="H297" s="2"/>
      <c r="I297" s="66" t="s">
        <v>64</v>
      </c>
      <c r="J297" s="103">
        <f t="shared" ref="J297:N297" si="101">NORMINV(rand(),0, 1)</f>
        <v>-0.5333736406</v>
      </c>
      <c r="K297" s="104">
        <f t="shared" si="101"/>
        <v>-2.258117456</v>
      </c>
      <c r="L297" s="104">
        <f t="shared" si="101"/>
        <v>0.7354121033</v>
      </c>
      <c r="M297" s="104">
        <f t="shared" si="101"/>
        <v>-0.9961129626</v>
      </c>
      <c r="N297" s="105">
        <f t="shared" si="101"/>
        <v>0.6014239664</v>
      </c>
      <c r="O297" s="2"/>
      <c r="P297" s="66" t="s">
        <v>47</v>
      </c>
      <c r="Q297" s="106">
        <f t="array" ref="Q297:U301">MMULT(J297:N301,$M$201:$Q$205)</f>
        <v>0.646512381</v>
      </c>
      <c r="R297" s="107">
        <v>3.197283921168041</v>
      </c>
      <c r="S297" s="107">
        <v>-4.351962863083844</v>
      </c>
      <c r="T297" s="107">
        <v>-4.682482438927942</v>
      </c>
      <c r="U297" s="108">
        <v>2.0488059248421324</v>
      </c>
      <c r="W297" s="21" t="s">
        <v>4</v>
      </c>
      <c r="X297" s="2"/>
      <c r="Y297" s="2"/>
      <c r="Z297" s="2"/>
      <c r="AA297" s="2"/>
      <c r="AB297" s="2"/>
      <c r="AC297" s="2"/>
    </row>
    <row r="298">
      <c r="G298" s="21" t="s">
        <v>4</v>
      </c>
      <c r="I298" s="66" t="s">
        <v>65</v>
      </c>
      <c r="J298" s="110">
        <f t="shared" ref="J298:N298" si="102">NORMINV(rand(),0, 1)</f>
        <v>-0.8389151633</v>
      </c>
      <c r="K298" s="85">
        <f t="shared" si="102"/>
        <v>0.1888199354</v>
      </c>
      <c r="L298" s="85">
        <f t="shared" si="102"/>
        <v>-0.3841939949</v>
      </c>
      <c r="M298" s="85">
        <f t="shared" si="102"/>
        <v>-0.2320970256</v>
      </c>
      <c r="N298" s="111">
        <f t="shared" si="102"/>
        <v>0.5974558762</v>
      </c>
      <c r="O298" s="2"/>
      <c r="P298" s="2"/>
      <c r="Q298" s="112">
        <v>0.24112126325770056</v>
      </c>
      <c r="R298" s="109">
        <v>0.45739059090084</v>
      </c>
      <c r="S298" s="109">
        <v>-1.5481513084974705</v>
      </c>
      <c r="T298" s="109">
        <v>-1.153225424875649</v>
      </c>
      <c r="U298" s="113">
        <v>-2.243231938932819</v>
      </c>
      <c r="W298" s="21" t="s">
        <v>4</v>
      </c>
      <c r="X298" s="66"/>
      <c r="Y298" s="109"/>
      <c r="Z298" s="109"/>
      <c r="AA298" s="109"/>
      <c r="AB298" s="109"/>
      <c r="AC298" s="109"/>
    </row>
    <row r="299">
      <c r="G299" s="21" t="s">
        <v>4</v>
      </c>
      <c r="I299" s="41"/>
      <c r="J299" s="110">
        <f t="shared" ref="J299:N299" si="103">NORMINV(rand(),0, 1)</f>
        <v>1.204958328</v>
      </c>
      <c r="K299" s="85">
        <f t="shared" si="103"/>
        <v>-0.5112247206</v>
      </c>
      <c r="L299" s="85">
        <f t="shared" si="103"/>
        <v>0.8062115812</v>
      </c>
      <c r="M299" s="85">
        <f t="shared" si="103"/>
        <v>-1.12377245</v>
      </c>
      <c r="N299" s="111">
        <f t="shared" si="103"/>
        <v>-0.827184296</v>
      </c>
      <c r="O299" s="67" t="s">
        <v>8</v>
      </c>
      <c r="P299" s="67" t="s">
        <v>8</v>
      </c>
      <c r="Q299" s="112">
        <v>-0.43825911243822135</v>
      </c>
      <c r="R299" s="109">
        <v>0.6769450685200902</v>
      </c>
      <c r="S299" s="109">
        <v>0.5494698940942563</v>
      </c>
      <c r="T299" s="109">
        <v>-0.4690488853182728</v>
      </c>
      <c r="U299" s="113">
        <v>2.407091566465569</v>
      </c>
      <c r="W299" s="21" t="s">
        <v>4</v>
      </c>
      <c r="X299" s="2"/>
      <c r="Y299" s="109"/>
      <c r="Z299" s="109"/>
      <c r="AA299" s="109"/>
      <c r="AB299" s="109"/>
      <c r="AC299" s="109"/>
    </row>
    <row r="300">
      <c r="G300" s="21" t="s">
        <v>4</v>
      </c>
      <c r="I300" s="41"/>
      <c r="J300" s="110">
        <f t="shared" ref="J300:N300" si="104">NORMINV(rand(),0, 1)</f>
        <v>-0.4015695681</v>
      </c>
      <c r="K300" s="85">
        <f t="shared" si="104"/>
        <v>1.507178778</v>
      </c>
      <c r="L300" s="85">
        <f t="shared" si="104"/>
        <v>-0.01534998991</v>
      </c>
      <c r="M300" s="85">
        <f t="shared" si="104"/>
        <v>-0.9458384716</v>
      </c>
      <c r="N300" s="111">
        <f t="shared" si="104"/>
        <v>-0.8852588898</v>
      </c>
      <c r="O300" s="2"/>
      <c r="P300" s="2"/>
      <c r="Q300" s="112">
        <v>-0.96535588035165</v>
      </c>
      <c r="R300" s="109">
        <v>-2.1594602645020107</v>
      </c>
      <c r="S300" s="109">
        <v>0.0040037641880635855</v>
      </c>
      <c r="T300" s="109">
        <v>-1.6484773313035133</v>
      </c>
      <c r="U300" s="113">
        <v>-4.182516534646602</v>
      </c>
      <c r="W300" s="21" t="s">
        <v>4</v>
      </c>
      <c r="X300" s="67"/>
      <c r="Y300" s="109"/>
      <c r="Z300" s="109"/>
      <c r="AA300" s="109"/>
      <c r="AB300" s="109"/>
      <c r="AC300" s="109"/>
    </row>
    <row r="301">
      <c r="G301" s="21" t="s">
        <v>4</v>
      </c>
      <c r="I301" s="41"/>
      <c r="J301" s="114">
        <f t="shared" ref="J301:N301" si="105">NORMINV(rand(),0, 1)</f>
        <v>0.2668420584</v>
      </c>
      <c r="K301" s="115">
        <f t="shared" si="105"/>
        <v>0.8178691829</v>
      </c>
      <c r="L301" s="115">
        <f t="shared" si="105"/>
        <v>-0.9294256972</v>
      </c>
      <c r="M301" s="115">
        <f t="shared" si="105"/>
        <v>0.5635993104</v>
      </c>
      <c r="N301" s="116">
        <f t="shared" si="105"/>
        <v>0.8449807705</v>
      </c>
      <c r="O301" s="2"/>
      <c r="Q301" s="117">
        <v>0.4471392975718491</v>
      </c>
      <c r="R301" s="118">
        <v>0.4450792826447866</v>
      </c>
      <c r="S301" s="118">
        <v>1.8896290114350591</v>
      </c>
      <c r="T301" s="118">
        <v>3.9584919363230093</v>
      </c>
      <c r="U301" s="119">
        <v>-0.5198009329541049</v>
      </c>
      <c r="W301" s="21" t="s">
        <v>4</v>
      </c>
      <c r="X301" s="2"/>
      <c r="Y301" s="109"/>
      <c r="Z301" s="109"/>
      <c r="AA301" s="109"/>
      <c r="AB301" s="109"/>
      <c r="AC301" s="109"/>
    </row>
    <row r="302">
      <c r="G302" s="21" t="s">
        <v>4</v>
      </c>
      <c r="I302" s="1"/>
      <c r="J302" s="2"/>
      <c r="K302" s="2"/>
      <c r="L302" s="2"/>
      <c r="M302" s="2"/>
      <c r="N302" s="2"/>
      <c r="O302" s="2"/>
      <c r="W302" s="21" t="s">
        <v>4</v>
      </c>
      <c r="Y302" s="109"/>
      <c r="Z302" s="109"/>
      <c r="AA302" s="109"/>
      <c r="AB302" s="109"/>
      <c r="AC302" s="109"/>
    </row>
    <row r="303">
      <c r="G303" s="21" t="s">
        <v>4</v>
      </c>
      <c r="I303" s="66" t="s">
        <v>64</v>
      </c>
      <c r="J303" s="103">
        <f t="shared" ref="J303:N303" si="106">NORMINV(rand(),0, 1)</f>
        <v>-1.48936076</v>
      </c>
      <c r="K303" s="104">
        <f t="shared" si="106"/>
        <v>-0.7262859619</v>
      </c>
      <c r="L303" s="104">
        <f t="shared" si="106"/>
        <v>2.537842659</v>
      </c>
      <c r="M303" s="104">
        <f t="shared" si="106"/>
        <v>-1.216705045</v>
      </c>
      <c r="N303" s="105">
        <f t="shared" si="106"/>
        <v>-0.1711997616</v>
      </c>
      <c r="O303" s="2"/>
      <c r="P303" s="66" t="s">
        <v>51</v>
      </c>
      <c r="Q303" s="106">
        <f t="array" ref="Q303:U307">MMULT(J303:N307,$M$201:$Q$205)</f>
        <v>0.06577788566</v>
      </c>
      <c r="R303" s="107">
        <v>-1.1649715530018996</v>
      </c>
      <c r="S303" s="107">
        <v>-6.470929380637703</v>
      </c>
      <c r="T303" s="107">
        <v>-8.704384428984154</v>
      </c>
      <c r="U303" s="108">
        <v>-3.1240006594820486</v>
      </c>
      <c r="W303" s="21" t="s">
        <v>4</v>
      </c>
    </row>
    <row r="304">
      <c r="G304" s="21" t="s">
        <v>4</v>
      </c>
      <c r="I304" s="66" t="s">
        <v>66</v>
      </c>
      <c r="J304" s="110">
        <f t="shared" ref="J304:N304" si="107">NORMINV(rand(),0, 1)</f>
        <v>-0.5534886795</v>
      </c>
      <c r="K304" s="85">
        <f t="shared" si="107"/>
        <v>0.07934447322</v>
      </c>
      <c r="L304" s="85">
        <f t="shared" si="107"/>
        <v>-0.118091566</v>
      </c>
      <c r="M304" s="85">
        <f t="shared" si="107"/>
        <v>-0.5739594708</v>
      </c>
      <c r="N304" s="111">
        <f t="shared" si="107"/>
        <v>-0.8094937299</v>
      </c>
      <c r="O304" s="2"/>
      <c r="P304" s="2"/>
      <c r="Q304" s="112">
        <v>-0.713238893540297</v>
      </c>
      <c r="R304" s="109">
        <v>-0.7905188873430524</v>
      </c>
      <c r="S304" s="109">
        <v>-0.8423474073325143</v>
      </c>
      <c r="T304" s="109">
        <v>-2.7123901608034635</v>
      </c>
      <c r="U304" s="113">
        <v>-1.4966736886489527</v>
      </c>
      <c r="W304" s="21" t="s">
        <v>4</v>
      </c>
      <c r="X304" s="66"/>
      <c r="Y304" s="109"/>
      <c r="Z304" s="109"/>
      <c r="AA304" s="109"/>
      <c r="AB304" s="109"/>
      <c r="AC304" s="109"/>
    </row>
    <row r="305">
      <c r="G305" s="21" t="s">
        <v>4</v>
      </c>
      <c r="I305" s="41"/>
      <c r="J305" s="110">
        <f t="shared" ref="J305:N305" si="108">NORMINV(rand(),0, 1)</f>
        <v>0.8600008473</v>
      </c>
      <c r="K305" s="85">
        <f t="shared" si="108"/>
        <v>0.42619493</v>
      </c>
      <c r="L305" s="85">
        <f t="shared" si="108"/>
        <v>0.2324977827</v>
      </c>
      <c r="M305" s="85">
        <f t="shared" si="108"/>
        <v>1.457976037</v>
      </c>
      <c r="N305" s="111">
        <f t="shared" si="108"/>
        <v>0.7652640761</v>
      </c>
      <c r="O305" s="67" t="s">
        <v>8</v>
      </c>
      <c r="P305" s="67" t="s">
        <v>8</v>
      </c>
      <c r="Q305" s="112">
        <v>0.7703576476494569</v>
      </c>
      <c r="R305" s="109">
        <v>-0.47064661703549215</v>
      </c>
      <c r="S305" s="109">
        <v>2.4027870254977257</v>
      </c>
      <c r="T305" s="109">
        <v>4.7840868960654035</v>
      </c>
      <c r="U305" s="113">
        <v>1.8639933409988823</v>
      </c>
      <c r="W305" s="21" t="s">
        <v>4</v>
      </c>
      <c r="X305" s="2"/>
      <c r="Y305" s="109"/>
      <c r="Z305" s="109"/>
      <c r="AA305" s="109"/>
      <c r="AB305" s="109"/>
      <c r="AC305" s="109"/>
    </row>
    <row r="306">
      <c r="G306" s="21" t="s">
        <v>4</v>
      </c>
      <c r="I306" s="41"/>
      <c r="J306" s="110">
        <f t="shared" ref="J306:N306" si="109">NORMINV(rand(),0, 1)</f>
        <v>0.9983394324</v>
      </c>
      <c r="K306" s="85">
        <f t="shared" si="109"/>
        <v>0.9144548717</v>
      </c>
      <c r="L306" s="85">
        <f t="shared" si="109"/>
        <v>0.2797624245</v>
      </c>
      <c r="M306" s="85">
        <f t="shared" si="109"/>
        <v>0.7958019731</v>
      </c>
      <c r="N306" s="111">
        <f t="shared" si="109"/>
        <v>0.1993821403</v>
      </c>
      <c r="O306" s="2"/>
      <c r="P306" s="2"/>
      <c r="Q306" s="112">
        <v>0.24736126529797314</v>
      </c>
      <c r="R306" s="109">
        <v>-1.073487252102124</v>
      </c>
      <c r="S306" s="109">
        <v>2.6866969232157962</v>
      </c>
      <c r="T306" s="109">
        <v>4.164168220526537</v>
      </c>
      <c r="U306" s="113">
        <v>0.7968373576850737</v>
      </c>
      <c r="W306" s="21" t="s">
        <v>4</v>
      </c>
      <c r="X306" s="67"/>
      <c r="Y306" s="109"/>
      <c r="Z306" s="109"/>
      <c r="AA306" s="109"/>
      <c r="AB306" s="109"/>
      <c r="AC306" s="109"/>
    </row>
    <row r="307">
      <c r="G307" s="21" t="s">
        <v>4</v>
      </c>
      <c r="I307" s="41"/>
      <c r="J307" s="114">
        <f t="shared" ref="J307:N307" si="110">NORMINV(rand(),0, 1)</f>
        <v>0.5443986912</v>
      </c>
      <c r="K307" s="115">
        <f t="shared" si="110"/>
        <v>1.353438729</v>
      </c>
      <c r="L307" s="115">
        <f t="shared" si="110"/>
        <v>0.3009708085</v>
      </c>
      <c r="M307" s="115">
        <f t="shared" si="110"/>
        <v>-0.1396177839</v>
      </c>
      <c r="N307" s="116">
        <f t="shared" si="110"/>
        <v>0.1170726329</v>
      </c>
      <c r="O307" s="2"/>
      <c r="Q307" s="117">
        <v>-0.016843833682321063</v>
      </c>
      <c r="R307" s="118">
        <v>-1.1690959947964283</v>
      </c>
      <c r="S307" s="118">
        <v>1.3945012294565118</v>
      </c>
      <c r="T307" s="118">
        <v>2.241466321774095</v>
      </c>
      <c r="U307" s="119">
        <v>-1.673459074618596</v>
      </c>
      <c r="W307" s="21" t="s">
        <v>4</v>
      </c>
      <c r="X307" s="2"/>
      <c r="Y307" s="109"/>
      <c r="Z307" s="109"/>
      <c r="AA307" s="109"/>
      <c r="AB307" s="109"/>
      <c r="AC307" s="109"/>
    </row>
    <row r="308">
      <c r="G308" s="21" t="s">
        <v>4</v>
      </c>
      <c r="O308" s="193"/>
      <c r="P308" s="2"/>
      <c r="Q308" s="41"/>
      <c r="R308" s="42"/>
      <c r="S308" s="42"/>
      <c r="T308" s="42"/>
      <c r="U308" s="42"/>
      <c r="V308" s="42"/>
      <c r="W308" s="21" t="s">
        <v>4</v>
      </c>
      <c r="Y308" s="109"/>
      <c r="Z308" s="109"/>
      <c r="AA308" s="109"/>
      <c r="AB308" s="109"/>
      <c r="AC308" s="109"/>
    </row>
    <row r="309">
      <c r="B309" s="1"/>
      <c r="C309" s="2"/>
      <c r="D309" s="2"/>
      <c r="E309" s="2"/>
      <c r="G309" s="21" t="s">
        <v>4</v>
      </c>
      <c r="L309" s="2"/>
      <c r="M309" s="68" t="s">
        <v>22</v>
      </c>
      <c r="N309" s="7">
        <f t="array" ref="N309:R313">MMULT(TRANSPOSE(Q303:U307),Q297:U301) / 5^0.5</f>
        <v>-0.3190378395</v>
      </c>
      <c r="O309" s="8">
        <v>-0.06086220919417913</v>
      </c>
      <c r="P309" s="8">
        <v>0.541302383178859</v>
      </c>
      <c r="Q309" s="8">
        <v>-0.14367165303970503</v>
      </c>
      <c r="R309" s="9">
        <v>1.1463026477143872</v>
      </c>
      <c r="W309" s="21" t="s">
        <v>4</v>
      </c>
      <c r="AA309" s="2"/>
      <c r="AB309" s="2"/>
      <c r="AC309" s="2"/>
    </row>
    <row r="310">
      <c r="B310" s="1"/>
      <c r="C310" s="2"/>
      <c r="D310" s="2"/>
      <c r="E310" s="2"/>
      <c r="G310" s="21" t="s">
        <v>4</v>
      </c>
      <c r="L310" s="2"/>
      <c r="N310" s="11">
        <v>-0.10016055389459827</v>
      </c>
      <c r="O310" s="10">
        <v>-1.1659350207711796</v>
      </c>
      <c r="P310" s="10">
        <v>1.7091134875801721</v>
      </c>
      <c r="Q310" s="10">
        <v>1.667714917202042</v>
      </c>
      <c r="R310" s="12">
        <v>1.4987033032455912</v>
      </c>
      <c r="V310" s="10"/>
      <c r="W310" s="21" t="s">
        <v>4</v>
      </c>
      <c r="X310" s="10"/>
      <c r="Y310" s="10"/>
      <c r="Z310" s="10"/>
      <c r="AA310" s="2"/>
      <c r="AB310" s="2"/>
      <c r="AC310" s="2"/>
    </row>
    <row r="311">
      <c r="B311" s="1"/>
      <c r="C311" s="2"/>
      <c r="D311" s="2"/>
      <c r="E311" s="2"/>
      <c r="G311" s="21" t="s">
        <v>4</v>
      </c>
      <c r="L311" s="2"/>
      <c r="N311" s="11">
        <v>-3.3137496663288766</v>
      </c>
      <c r="O311" s="10">
        <v>-11.014547546816932</v>
      </c>
      <c r="P311" s="10">
        <v>14.950990732153345</v>
      </c>
      <c r="Q311" s="10">
        <v>13.96897065358598</v>
      </c>
      <c r="R311" s="12">
        <v>-7.8469827317244665</v>
      </c>
      <c r="V311" s="10"/>
      <c r="W311" s="21" t="s">
        <v>4</v>
      </c>
      <c r="X311" s="10"/>
      <c r="Y311" s="10"/>
      <c r="Z311" s="10"/>
      <c r="AA311" s="2"/>
      <c r="AB311" s="2"/>
      <c r="AC311" s="2"/>
    </row>
    <row r="312">
      <c r="B312" s="1"/>
      <c r="C312" s="2"/>
      <c r="D312" s="2"/>
      <c r="E312" s="2"/>
      <c r="G312" s="21" t="s">
        <v>4</v>
      </c>
      <c r="L312" s="2"/>
      <c r="N312" s="11">
        <v>-5.09637168337671</v>
      </c>
      <c r="O312" s="10">
        <v>-15.127971067937525</v>
      </c>
      <c r="P312" s="10">
        <v>21.89614649809751</v>
      </c>
      <c r="Q312" s="10">
        <v>19.521071713557046</v>
      </c>
      <c r="R312" s="12">
        <v>-8.414394302793381</v>
      </c>
      <c r="V312" s="10"/>
      <c r="W312" s="21" t="s">
        <v>4</v>
      </c>
      <c r="X312" s="10"/>
      <c r="Y312" s="10"/>
      <c r="Z312" s="10"/>
      <c r="AA312" s="2"/>
      <c r="AB312" s="2"/>
      <c r="AC312" s="2"/>
    </row>
    <row r="313">
      <c r="B313" s="1"/>
      <c r="C313" s="2"/>
      <c r="D313" s="2"/>
      <c r="E313" s="2"/>
      <c r="G313" s="21" t="s">
        <v>4</v>
      </c>
      <c r="L313" s="2"/>
      <c r="N313" s="13">
        <v>-2.108611193253889</v>
      </c>
      <c r="O313" s="14">
        <v>-5.311386387327832</v>
      </c>
      <c r="P313" s="14">
        <v>6.161616765736775</v>
      </c>
      <c r="Q313" s="14">
        <v>3.37281061275651</v>
      </c>
      <c r="R313" s="15">
        <v>-0.45580100189427414</v>
      </c>
      <c r="V313" s="10"/>
      <c r="W313" s="21" t="s">
        <v>4</v>
      </c>
      <c r="X313" s="10"/>
      <c r="Y313" s="10"/>
      <c r="Z313" s="10"/>
      <c r="AA313" s="2"/>
      <c r="AB313" s="2"/>
      <c r="AC313" s="2"/>
    </row>
    <row r="314">
      <c r="B314" s="1"/>
      <c r="C314" s="2"/>
      <c r="D314" s="2"/>
      <c r="E314" s="2"/>
      <c r="G314" s="21" t="s">
        <v>4</v>
      </c>
      <c r="L314" s="2"/>
      <c r="M314" s="2"/>
      <c r="N314" s="2"/>
      <c r="O314" s="2"/>
      <c r="P314" s="98" t="s">
        <v>4</v>
      </c>
      <c r="Q314" s="2"/>
      <c r="R314" s="2"/>
      <c r="V314" s="10"/>
      <c r="W314" s="21" t="s">
        <v>4</v>
      </c>
      <c r="X314" s="10"/>
      <c r="Y314" s="10"/>
      <c r="Z314" s="10"/>
      <c r="AA314" s="2"/>
      <c r="AB314" s="2"/>
      <c r="AC314" s="2"/>
    </row>
    <row r="315">
      <c r="B315" s="1"/>
      <c r="C315" s="2"/>
      <c r="D315" s="2"/>
      <c r="E315" s="2"/>
      <c r="G315" s="21" t="s">
        <v>4</v>
      </c>
      <c r="L315" s="2"/>
      <c r="M315" s="2"/>
      <c r="N315" s="2"/>
      <c r="O315" s="2"/>
      <c r="P315" s="98" t="s">
        <v>4</v>
      </c>
      <c r="Q315" s="2"/>
      <c r="R315" s="2"/>
      <c r="V315" s="2"/>
      <c r="W315" s="21" t="s">
        <v>4</v>
      </c>
      <c r="X315" s="98"/>
      <c r="Y315" s="2"/>
      <c r="Z315" s="2"/>
      <c r="AA315" s="2"/>
      <c r="AB315" s="2"/>
      <c r="AC315" s="2"/>
    </row>
    <row r="316">
      <c r="B316" s="1"/>
      <c r="C316" s="2"/>
      <c r="D316" s="2"/>
      <c r="E316" s="2"/>
      <c r="G316" s="21" t="s">
        <v>4</v>
      </c>
      <c r="L316" s="2"/>
      <c r="M316" s="34" t="s">
        <v>37</v>
      </c>
      <c r="N316" s="173">
        <f t="shared" ref="N316:R316" si="111">EXP(N309+Y291)/SUMPRODUCT(EXP($N309:$R309+$Y291:$AC291))
</f>
        <v>1</v>
      </c>
      <c r="O316" s="174">
        <f t="shared" si="111"/>
        <v>0</v>
      </c>
      <c r="P316" s="174">
        <f t="shared" si="111"/>
        <v>0</v>
      </c>
      <c r="Q316" s="174">
        <f t="shared" si="111"/>
        <v>0</v>
      </c>
      <c r="R316" s="175">
        <f t="shared" si="111"/>
        <v>0</v>
      </c>
      <c r="V316" s="2"/>
      <c r="W316" s="21" t="s">
        <v>4</v>
      </c>
      <c r="X316" s="98"/>
      <c r="Y316" s="2"/>
      <c r="Z316" s="2"/>
      <c r="AA316" s="2"/>
      <c r="AB316" s="2"/>
      <c r="AC316" s="2"/>
    </row>
    <row r="317">
      <c r="B317" s="1"/>
      <c r="C317" s="2"/>
      <c r="D317" s="2"/>
      <c r="E317" s="2"/>
      <c r="G317" s="21" t="s">
        <v>4</v>
      </c>
      <c r="L317" s="2"/>
      <c r="M317" s="34" t="s">
        <v>35</v>
      </c>
      <c r="N317" s="176">
        <f t="shared" ref="N317:R317" si="112">EXP(N310+Y292)/SUMPRODUCT(EXP($N310:$R310+$Y292:$AC292))
</f>
        <v>0.7437925061</v>
      </c>
      <c r="O317" s="177">
        <f t="shared" si="112"/>
        <v>0.2562074939</v>
      </c>
      <c r="P317" s="177">
        <f t="shared" si="112"/>
        <v>0</v>
      </c>
      <c r="Q317" s="177">
        <f t="shared" si="112"/>
        <v>0</v>
      </c>
      <c r="R317" s="178">
        <f t="shared" si="112"/>
        <v>0</v>
      </c>
      <c r="V317" s="177"/>
      <c r="W317" s="21" t="s">
        <v>4</v>
      </c>
      <c r="X317" s="177"/>
      <c r="Y317" s="177"/>
      <c r="Z317" s="177"/>
      <c r="AA317" s="2"/>
      <c r="AB317" s="2"/>
      <c r="AC317" s="2"/>
    </row>
    <row r="318">
      <c r="B318" s="1"/>
      <c r="C318" s="2"/>
      <c r="D318" s="2"/>
      <c r="E318" s="2"/>
      <c r="G318" s="21" t="s">
        <v>4</v>
      </c>
      <c r="L318" s="2"/>
      <c r="M318" s="67"/>
      <c r="N318" s="176">
        <f t="shared" ref="N318:R318" si="113">EXP(N311+Y293)/SUMPRODUCT(EXP($N311:$R311+$Y293:$AC293))
</f>
        <v>0.00000001168756466</v>
      </c>
      <c r="O318" s="177">
        <f t="shared" si="113"/>
        <v>0</v>
      </c>
      <c r="P318" s="177">
        <f t="shared" si="113"/>
        <v>0.9999999883</v>
      </c>
      <c r="Q318" s="177">
        <f t="shared" si="113"/>
        <v>0</v>
      </c>
      <c r="R318" s="178">
        <f t="shared" si="113"/>
        <v>0</v>
      </c>
      <c r="V318" s="177"/>
      <c r="W318" s="21" t="s">
        <v>4</v>
      </c>
      <c r="X318" s="177"/>
      <c r="Y318" s="177"/>
      <c r="Z318" s="177"/>
      <c r="AA318" s="2"/>
      <c r="AB318" s="2"/>
      <c r="AC318" s="2"/>
    </row>
    <row r="319">
      <c r="B319" s="1"/>
      <c r="C319" s="2"/>
      <c r="D319" s="2"/>
      <c r="E319" s="2"/>
      <c r="G319" s="21" t="s">
        <v>4</v>
      </c>
      <c r="L319" s="2"/>
      <c r="M319" s="94"/>
      <c r="N319" s="176">
        <f t="shared" ref="N319:R319" si="114">EXP(N312+Y294)/SUMPRODUCT(EXP($N312:$R312+$Y294:$AC294))
</f>
        <v>0</v>
      </c>
      <c r="O319" s="177">
        <f t="shared" si="114"/>
        <v>0</v>
      </c>
      <c r="P319" s="177">
        <f t="shared" si="114"/>
        <v>0.9149067773</v>
      </c>
      <c r="Q319" s="177">
        <f t="shared" si="114"/>
        <v>0.08509322267</v>
      </c>
      <c r="R319" s="178">
        <f t="shared" si="114"/>
        <v>0</v>
      </c>
      <c r="V319" s="177"/>
      <c r="W319" s="21" t="s">
        <v>4</v>
      </c>
      <c r="X319" s="177"/>
      <c r="Y319" s="177"/>
      <c r="Z319" s="177"/>
      <c r="AA319" s="2"/>
      <c r="AB319" s="2"/>
      <c r="AC319" s="2"/>
    </row>
    <row r="320">
      <c r="B320" s="1"/>
      <c r="C320" s="2"/>
      <c r="D320" s="2"/>
      <c r="E320" s="2"/>
      <c r="G320" s="21" t="s">
        <v>4</v>
      </c>
      <c r="L320" s="2"/>
      <c r="M320" s="41"/>
      <c r="N320" s="179">
        <f t="shared" ref="N320:R320" si="115">EXP(N313+Y295)/SUMPRODUCT(EXP($N313:$R313+$Y295:$AC295))
</f>
        <v>0.0002408309916</v>
      </c>
      <c r="O320" s="180">
        <f t="shared" si="115"/>
        <v>0.000009789596241</v>
      </c>
      <c r="P320" s="180">
        <f t="shared" si="115"/>
        <v>0.9406471425</v>
      </c>
      <c r="Q320" s="180">
        <f t="shared" si="115"/>
        <v>0.05784470588</v>
      </c>
      <c r="R320" s="181">
        <f t="shared" si="115"/>
        <v>0.001257531057</v>
      </c>
      <c r="V320" s="177"/>
      <c r="W320" s="21" t="s">
        <v>4</v>
      </c>
      <c r="X320" s="177"/>
      <c r="Y320" s="177"/>
      <c r="Z320" s="177"/>
      <c r="AA320" s="2"/>
      <c r="AB320" s="2"/>
      <c r="AC320" s="2"/>
    </row>
    <row r="321">
      <c r="B321" s="1"/>
      <c r="C321" s="2"/>
      <c r="D321" s="2"/>
      <c r="E321" s="2"/>
      <c r="G321" s="21" t="s">
        <v>4</v>
      </c>
      <c r="L321" s="2"/>
      <c r="M321" s="2"/>
      <c r="N321" s="2"/>
      <c r="O321" s="3"/>
      <c r="P321" s="2"/>
      <c r="Q321" s="2"/>
      <c r="R321" s="2"/>
      <c r="S321" s="2"/>
      <c r="T321" s="2"/>
      <c r="U321" s="2"/>
      <c r="V321" s="177"/>
      <c r="W321" s="21" t="s">
        <v>4</v>
      </c>
      <c r="X321" s="177"/>
      <c r="Y321" s="177"/>
      <c r="Z321" s="177"/>
      <c r="AA321" s="2"/>
      <c r="AB321" s="2"/>
      <c r="AC321" s="2"/>
    </row>
    <row r="322">
      <c r="B322" s="1"/>
      <c r="C322" s="2"/>
      <c r="D322" s="2"/>
      <c r="F322" s="2"/>
      <c r="G322" s="21" t="s">
        <v>4</v>
      </c>
      <c r="H322" s="2"/>
      <c r="I322" s="2"/>
      <c r="J322" s="2"/>
      <c r="K322" s="2"/>
      <c r="L322" s="2"/>
      <c r="M322" s="2"/>
      <c r="N322" s="2"/>
      <c r="O322" s="193"/>
      <c r="P322" s="2"/>
      <c r="Q322" s="1"/>
      <c r="R322" s="2"/>
      <c r="S322" s="2"/>
      <c r="T322" s="2"/>
      <c r="U322" s="2"/>
      <c r="V322" s="2"/>
      <c r="W322" s="21" t="s">
        <v>4</v>
      </c>
      <c r="X322" s="2"/>
      <c r="Y322" s="2"/>
      <c r="Z322" s="2"/>
      <c r="AA322" s="2"/>
      <c r="AB322" s="2"/>
      <c r="AC322" s="2"/>
    </row>
    <row r="323">
      <c r="B323" s="66" t="s">
        <v>42</v>
      </c>
      <c r="C323" s="120">
        <f t="shared" ref="C323:G323" si="116">NORMINV(rand(),0, 1)</f>
        <v>0.8851983626</v>
      </c>
      <c r="D323" s="121">
        <f t="shared" si="116"/>
        <v>1.66732161</v>
      </c>
      <c r="E323" s="122">
        <f t="shared" si="116"/>
        <v>-0.6142098383</v>
      </c>
      <c r="F323" s="123">
        <f t="shared" si="116"/>
        <v>2.542763658</v>
      </c>
      <c r="G323" s="124">
        <f t="shared" si="116"/>
        <v>-0.8508699417</v>
      </c>
      <c r="H323" s="2"/>
      <c r="I323" s="66" t="s">
        <v>43</v>
      </c>
      <c r="J323" s="125">
        <f t="array" ref="J323:N327">MMULT(C323:G327,$M$201:$Q$205)</f>
        <v>-0.5079948402</v>
      </c>
      <c r="K323" s="126">
        <v>-3.9946964616204657</v>
      </c>
      <c r="L323" s="127">
        <v>5.947413113998392</v>
      </c>
      <c r="M323" s="128">
        <v>6.402986279283125</v>
      </c>
      <c r="N323" s="129">
        <v>1.0500769753404144</v>
      </c>
      <c r="O323" s="102"/>
      <c r="P323" s="2"/>
      <c r="Q323" s="66" t="s">
        <v>44</v>
      </c>
      <c r="R323" s="120">
        <f t="shared" ref="R323:V323" si="117">NORMINV(rand(),0, 1)</f>
        <v>-0.592293425</v>
      </c>
      <c r="S323" s="121">
        <f t="shared" si="117"/>
        <v>-0.6332957656</v>
      </c>
      <c r="T323" s="122">
        <f t="shared" si="117"/>
        <v>-0.09454487482</v>
      </c>
      <c r="U323" s="123">
        <f t="shared" si="117"/>
        <v>0.7975177091</v>
      </c>
      <c r="V323" s="124">
        <f t="shared" si="117"/>
        <v>-0.4437910178</v>
      </c>
      <c r="W323" s="2"/>
      <c r="X323" s="66" t="s">
        <v>45</v>
      </c>
      <c r="Y323" s="125">
        <f t="array" ref="Y323:AC327">MMULT(R323:V327,$M$201:$Q$205)</f>
        <v>-0.195784915</v>
      </c>
      <c r="Z323" s="126">
        <v>-0.7536987569714111</v>
      </c>
      <c r="AA323" s="127">
        <v>-0.4377899423528645</v>
      </c>
      <c r="AB323" s="128">
        <v>-1.524323205458806</v>
      </c>
      <c r="AC323" s="129">
        <v>0.7989469838845441</v>
      </c>
    </row>
    <row r="324">
      <c r="B324" s="66" t="s">
        <v>7</v>
      </c>
      <c r="C324" s="130">
        <f t="shared" ref="C324:G324" si="118">NORMINV(rand(),0, 1)</f>
        <v>-0.4438300745</v>
      </c>
      <c r="D324" s="132">
        <f t="shared" si="118"/>
        <v>1.680119079</v>
      </c>
      <c r="E324" s="133">
        <f t="shared" si="118"/>
        <v>0.09507586369</v>
      </c>
      <c r="F324" s="134">
        <f t="shared" si="118"/>
        <v>1.843405483</v>
      </c>
      <c r="G324" s="135">
        <f t="shared" si="118"/>
        <v>-0.027242385</v>
      </c>
      <c r="H324" s="2"/>
      <c r="I324" s="41"/>
      <c r="J324" s="136">
        <v>-0.02543297686646818</v>
      </c>
      <c r="K324" s="137">
        <v>-3.8025317242681056</v>
      </c>
      <c r="L324" s="138">
        <v>1.8460773340724017</v>
      </c>
      <c r="M324" s="139">
        <v>2.3899982909935034</v>
      </c>
      <c r="N324" s="140">
        <v>-2.5190019179871803</v>
      </c>
      <c r="O324" s="102"/>
      <c r="P324" s="2"/>
      <c r="Q324" s="66" t="s">
        <v>7</v>
      </c>
      <c r="R324" s="130">
        <f t="shared" ref="R324:V324" si="119">NORMINV(rand(),0, 1)</f>
        <v>0.2564735235</v>
      </c>
      <c r="S324" s="132">
        <f t="shared" si="119"/>
        <v>0.5062844766</v>
      </c>
      <c r="T324" s="133">
        <f t="shared" si="119"/>
        <v>2.020460204</v>
      </c>
      <c r="U324" s="134">
        <f t="shared" si="119"/>
        <v>0.2385167662</v>
      </c>
      <c r="V324" s="135">
        <f t="shared" si="119"/>
        <v>1.693834546</v>
      </c>
      <c r="W324" s="2"/>
      <c r="X324" s="41"/>
      <c r="Y324" s="136">
        <v>1.471055626550028</v>
      </c>
      <c r="Z324" s="137">
        <v>-0.17133855782730634</v>
      </c>
      <c r="AA324" s="138">
        <v>-1.8934807010393917</v>
      </c>
      <c r="AB324" s="139">
        <v>1.0148800133962057</v>
      </c>
      <c r="AC324" s="140">
        <v>-1.1056691084833696</v>
      </c>
    </row>
    <row r="325">
      <c r="B325" s="41"/>
      <c r="C325" s="142">
        <f t="shared" ref="C325:G325" si="120">NORMINV(rand(),0, 1)</f>
        <v>0.8187069515</v>
      </c>
      <c r="D325" s="143">
        <f t="shared" si="120"/>
        <v>0.08649448345</v>
      </c>
      <c r="E325" s="88">
        <f t="shared" si="120"/>
        <v>1.362334135</v>
      </c>
      <c r="F325" s="144">
        <f t="shared" si="120"/>
        <v>-0.1711144182</v>
      </c>
      <c r="G325" s="145">
        <f t="shared" si="120"/>
        <v>-1.243962856</v>
      </c>
      <c r="H325" s="67" t="s">
        <v>8</v>
      </c>
      <c r="I325" s="67" t="s">
        <v>8</v>
      </c>
      <c r="J325" s="146">
        <v>-0.639335956156763</v>
      </c>
      <c r="K325" s="147">
        <v>-1.925122871964278</v>
      </c>
      <c r="L325" s="148">
        <v>0.8007348121825847</v>
      </c>
      <c r="M325" s="149">
        <v>-0.8481915548182346</v>
      </c>
      <c r="N325" s="150">
        <v>1.2772611075080464</v>
      </c>
      <c r="O325" s="102"/>
      <c r="P325" s="2"/>
      <c r="Q325" s="41"/>
      <c r="R325" s="142">
        <f t="shared" ref="R325:V325" si="121">NORMINV(rand(),0, 1)</f>
        <v>-0.45676823</v>
      </c>
      <c r="S325" s="143">
        <f t="shared" si="121"/>
        <v>0.2979039424</v>
      </c>
      <c r="T325" s="88">
        <f t="shared" si="121"/>
        <v>-0.7333515693</v>
      </c>
      <c r="U325" s="144">
        <f t="shared" si="121"/>
        <v>-0.133133868</v>
      </c>
      <c r="V325" s="145">
        <f t="shared" si="121"/>
        <v>0.7173618181</v>
      </c>
      <c r="W325" s="67" t="s">
        <v>8</v>
      </c>
      <c r="X325" s="67" t="s">
        <v>8</v>
      </c>
      <c r="Y325" s="146">
        <v>0.30486024117895405</v>
      </c>
      <c r="Z325" s="147">
        <v>0.8827703390227296</v>
      </c>
      <c r="AA325" s="148">
        <v>-0.45224259213723966</v>
      </c>
      <c r="AB325" s="149">
        <v>0.5227045700458588</v>
      </c>
      <c r="AC325" s="150">
        <v>-1.5600497325988554</v>
      </c>
    </row>
    <row r="326">
      <c r="B326" s="41"/>
      <c r="C326" s="152">
        <f t="shared" ref="C326:G326" si="122">NORMINV(rand(),0, 1)</f>
        <v>-0.9069238243</v>
      </c>
      <c r="D326" s="92">
        <f t="shared" si="122"/>
        <v>0.2104770318</v>
      </c>
      <c r="E326" s="153">
        <f t="shared" si="122"/>
        <v>-0.2731225918</v>
      </c>
      <c r="F326" s="154">
        <f t="shared" si="122"/>
        <v>1.001340861</v>
      </c>
      <c r="G326" s="155">
        <f t="shared" si="122"/>
        <v>-0.5562738898</v>
      </c>
      <c r="H326" s="2"/>
      <c r="I326" s="41"/>
      <c r="J326" s="156">
        <v>-0.4082528925742258</v>
      </c>
      <c r="K326" s="157">
        <v>-2.058958145834798</v>
      </c>
      <c r="L326" s="158">
        <v>-0.024974181509969995</v>
      </c>
      <c r="M326" s="159">
        <v>-1.2429590536421316</v>
      </c>
      <c r="N326" s="160">
        <v>-1.164841987169939</v>
      </c>
      <c r="O326" s="102"/>
      <c r="P326" s="2"/>
      <c r="Q326" s="41"/>
      <c r="R326" s="152">
        <f t="shared" ref="R326:V326" si="123">NORMINV(rand(),0, 1)</f>
        <v>1.009273492</v>
      </c>
      <c r="S326" s="92">
        <f t="shared" si="123"/>
        <v>0.8880513132</v>
      </c>
      <c r="T326" s="153">
        <f t="shared" si="123"/>
        <v>-1.115568513</v>
      </c>
      <c r="U326" s="154">
        <f t="shared" si="123"/>
        <v>1.67736629</v>
      </c>
      <c r="V326" s="155">
        <f t="shared" si="123"/>
        <v>-0.05040876615</v>
      </c>
      <c r="W326" s="2"/>
      <c r="X326" s="41"/>
      <c r="Y326" s="156">
        <v>-0.01752018047511042</v>
      </c>
      <c r="Z326" s="157">
        <v>-1.0159664578714007</v>
      </c>
      <c r="AA326" s="158">
        <v>4.910518628233968</v>
      </c>
      <c r="AB326" s="159">
        <v>6.4080748322054255</v>
      </c>
      <c r="AC326" s="160">
        <v>1.9746191427078121</v>
      </c>
    </row>
    <row r="327">
      <c r="B327" s="41"/>
      <c r="C327" s="162">
        <f t="shared" ref="C327:G327" si="124">NORMINV(rand(),0, 1)</f>
        <v>0.7406462165</v>
      </c>
      <c r="D327" s="163">
        <f t="shared" si="124"/>
        <v>0.1119303434</v>
      </c>
      <c r="E327" s="164">
        <f t="shared" si="124"/>
        <v>1.991623172</v>
      </c>
      <c r="F327" s="165">
        <f t="shared" si="124"/>
        <v>-0.1532643914</v>
      </c>
      <c r="G327" s="166">
        <f t="shared" si="124"/>
        <v>0.7019546242</v>
      </c>
      <c r="H327" s="2"/>
      <c r="I327" s="41"/>
      <c r="J327" s="167">
        <v>0.8116282726392614</v>
      </c>
      <c r="K327" s="168">
        <v>-0.2353402039762097</v>
      </c>
      <c r="L327" s="169">
        <v>-1.0305924278537195</v>
      </c>
      <c r="M327" s="170">
        <v>0.3984894818562976</v>
      </c>
      <c r="N327" s="171">
        <v>0.4977525475005312</v>
      </c>
      <c r="O327" s="102"/>
      <c r="P327" s="2"/>
      <c r="Q327" s="41"/>
      <c r="R327" s="162">
        <f t="shared" ref="R327:V327" si="125">NORMINV(rand(),0, 1)</f>
        <v>-1.12313987</v>
      </c>
      <c r="S327" s="163">
        <f t="shared" si="125"/>
        <v>-0.6783483626</v>
      </c>
      <c r="T327" s="164">
        <f t="shared" si="125"/>
        <v>-0.9856418002</v>
      </c>
      <c r="U327" s="165">
        <f t="shared" si="125"/>
        <v>0.03293476704</v>
      </c>
      <c r="V327" s="166">
        <f t="shared" si="125"/>
        <v>-1.276069118</v>
      </c>
      <c r="W327" s="2"/>
      <c r="X327" s="41"/>
      <c r="Y327" s="167">
        <v>-1.0436829219059789</v>
      </c>
      <c r="Z327" s="168">
        <v>-0.6769680135990729</v>
      </c>
      <c r="AA327" s="169">
        <v>-0.7444475211173032</v>
      </c>
      <c r="AB327" s="170">
        <v>-3.705283806854319</v>
      </c>
      <c r="AC327" s="171">
        <v>-0.3918386802775832</v>
      </c>
    </row>
    <row r="328">
      <c r="B328" s="1"/>
      <c r="C328" s="2"/>
      <c r="D328" s="2"/>
      <c r="E328" s="2"/>
      <c r="F328" s="2"/>
      <c r="G328" s="2"/>
      <c r="H328" s="2"/>
      <c r="I328" s="98" t="s">
        <v>4</v>
      </c>
      <c r="J328" s="2"/>
      <c r="K328" s="2"/>
      <c r="L328" s="2"/>
      <c r="M328" s="2"/>
      <c r="N328" s="2"/>
      <c r="O328" s="102"/>
      <c r="P328" s="2"/>
      <c r="Q328" s="2"/>
      <c r="R328" s="2"/>
      <c r="S328" s="2"/>
      <c r="T328" s="2"/>
      <c r="U328" s="2"/>
      <c r="V328" s="2"/>
      <c r="W328" s="2"/>
      <c r="X328" s="98" t="s">
        <v>4</v>
      </c>
      <c r="Y328" s="2"/>
      <c r="Z328" s="2"/>
      <c r="AA328" s="2"/>
      <c r="AB328" s="2"/>
      <c r="AC328" s="2"/>
    </row>
    <row r="329">
      <c r="B329" s="1"/>
      <c r="C329" s="2"/>
      <c r="D329" s="2"/>
      <c r="E329" s="2"/>
      <c r="F329" s="2"/>
      <c r="G329" s="2"/>
      <c r="H329" s="2"/>
      <c r="I329" s="98" t="s">
        <v>4</v>
      </c>
      <c r="J329" s="2"/>
      <c r="K329" s="2"/>
      <c r="L329" s="2"/>
      <c r="M329" s="2"/>
      <c r="N329" s="2"/>
      <c r="O329" s="102"/>
      <c r="P329" s="2"/>
      <c r="Q329" s="2"/>
      <c r="R329" s="2"/>
      <c r="S329" s="2"/>
      <c r="T329" s="2"/>
      <c r="U329" s="2"/>
      <c r="V329" s="2"/>
      <c r="W329" s="2"/>
      <c r="X329" s="98" t="s">
        <v>4</v>
      </c>
      <c r="Y329" s="2"/>
      <c r="Z329" s="2"/>
      <c r="AA329" s="2"/>
      <c r="AB329" s="2"/>
      <c r="AC329" s="2"/>
    </row>
    <row r="330">
      <c r="B330" s="1"/>
      <c r="C330" s="2"/>
      <c r="D330" s="2"/>
      <c r="E330" s="2"/>
      <c r="F330" s="66" t="s">
        <v>54</v>
      </c>
      <c r="G330" s="7">
        <f t="array" ref="G330:K334">MMULT(J323:N327,N316:R320)</f>
        <v>-3.478967172</v>
      </c>
      <c r="H330" s="8">
        <v>-1.0234608895981834</v>
      </c>
      <c r="I330" s="8">
        <v>12.793300492726685</v>
      </c>
      <c r="J330" s="8">
        <v>0.6055921310242215</v>
      </c>
      <c r="K330" s="9">
        <v>0.001320504408862182</v>
      </c>
      <c r="L330" s="2"/>
      <c r="M330" s="2"/>
      <c r="N330" s="2"/>
      <c r="O330" s="102"/>
      <c r="P330" s="2"/>
      <c r="Q330" s="2"/>
      <c r="R330" s="2"/>
      <c r="S330" s="2"/>
      <c r="T330" s="2"/>
      <c r="U330" s="66" t="s">
        <v>55</v>
      </c>
      <c r="V330" s="7">
        <f t="array" ref="V330:Z334">MMULT(Y323:AC327,N316:R320)</f>
        <v>-0.7561879962</v>
      </c>
      <c r="W330" s="8">
        <v>-0.19309544833882564</v>
      </c>
      <c r="X330" s="8">
        <v>-1.080876371362891</v>
      </c>
      <c r="Y330" s="8">
        <v>-0.08349472065056955</v>
      </c>
      <c r="Z330" s="9">
        <v>0.0010047006452309543</v>
      </c>
      <c r="AA330" s="2"/>
      <c r="AB330" s="2"/>
      <c r="AC330" s="2"/>
    </row>
    <row r="331">
      <c r="B331" s="1"/>
      <c r="C331" s="2"/>
      <c r="D331" s="2"/>
      <c r="E331" s="2"/>
      <c r="F331" s="2"/>
      <c r="G331" s="11">
        <v>-2.8543342096043522</v>
      </c>
      <c r="H331" s="10">
        <v>-0.9742617836816365</v>
      </c>
      <c r="I331" s="10">
        <v>1.6632109906700152</v>
      </c>
      <c r="J331" s="10">
        <v>0.05766173170495109</v>
      </c>
      <c r="K331" s="12">
        <v>-0.003167723144825669</v>
      </c>
      <c r="L331" s="2"/>
      <c r="M331" s="2"/>
      <c r="N331" s="2"/>
      <c r="O331" s="102"/>
      <c r="P331" s="2"/>
      <c r="Q331" s="2"/>
      <c r="R331" s="2"/>
      <c r="S331" s="2"/>
      <c r="T331" s="2"/>
      <c r="U331" s="2"/>
      <c r="V331" s="11">
        <v>1.34334898972174</v>
      </c>
      <c r="W331" s="10">
        <v>-0.04390904657938088</v>
      </c>
      <c r="X331" s="10">
        <v>-2.005004563888188</v>
      </c>
      <c r="Y331" s="10">
        <v>0.02240230658481633</v>
      </c>
      <c r="Z331" s="12">
        <v>-0.0013904132428212619</v>
      </c>
      <c r="AA331" s="2"/>
      <c r="AB331" s="2"/>
      <c r="AC331" s="2"/>
    </row>
    <row r="332">
      <c r="B332" s="1"/>
      <c r="C332" s="2"/>
      <c r="D332" s="2"/>
      <c r="E332" s="2"/>
      <c r="F332" s="2"/>
      <c r="G332" s="11">
        <v>-2.070920308163604</v>
      </c>
      <c r="H332" s="10">
        <v>-0.4932184026664372</v>
      </c>
      <c r="I332" s="10">
        <v>1.2261706118176914</v>
      </c>
      <c r="J332" s="10">
        <v>0.00170744025295691</v>
      </c>
      <c r="K332" s="12">
        <v>0.0016061955107489112</v>
      </c>
      <c r="L332" s="2"/>
      <c r="M332" s="2"/>
      <c r="N332" s="2"/>
      <c r="O332" s="102"/>
      <c r="P332" s="2"/>
      <c r="Q332" s="2"/>
      <c r="R332" s="2"/>
      <c r="S332" s="2"/>
      <c r="T332" s="2"/>
      <c r="U332" s="2"/>
      <c r="V332" s="11">
        <v>0.9610824903125423</v>
      </c>
      <c r="W332" s="10">
        <v>0.22615710402099024</v>
      </c>
      <c r="X332" s="10">
        <v>-1.4414729562626922</v>
      </c>
      <c r="Y332" s="10">
        <v>-0.04576200156999077</v>
      </c>
      <c r="Z332" s="12">
        <v>-0.001961810989402208</v>
      </c>
      <c r="AA332" s="2"/>
      <c r="AB332" s="2"/>
      <c r="AC332" s="2"/>
    </row>
    <row r="333">
      <c r="B333" s="1"/>
      <c r="C333" s="2"/>
      <c r="D333" s="2"/>
      <c r="E333" s="2"/>
      <c r="F333" s="2"/>
      <c r="G333" s="11">
        <v>-1.9399710620943351</v>
      </c>
      <c r="H333" s="10">
        <v>-0.5275319099924322</v>
      </c>
      <c r="I333" s="10">
        <v>-2.257871129999061</v>
      </c>
      <c r="J333" s="10">
        <v>-0.17314733366972632</v>
      </c>
      <c r="K333" s="12">
        <v>-0.0014648249755090973</v>
      </c>
      <c r="L333" s="2"/>
      <c r="M333" s="2"/>
      <c r="N333" s="2"/>
      <c r="O333" s="102"/>
      <c r="P333" s="2"/>
      <c r="Q333" s="2"/>
      <c r="R333" s="2"/>
      <c r="S333" s="2"/>
      <c r="T333" s="2"/>
      <c r="U333" s="2"/>
      <c r="V333" s="11">
        <v>-0.7727128113648796</v>
      </c>
      <c r="W333" s="10">
        <v>-0.2602788893422425</v>
      </c>
      <c r="X333" s="10">
        <v>12.630729518473347</v>
      </c>
      <c r="Y333" s="10">
        <v>0.6595050021365225</v>
      </c>
      <c r="Z333" s="12">
        <v>0.002483144897948105</v>
      </c>
      <c r="AA333" s="2"/>
      <c r="AB333" s="2"/>
      <c r="AC333" s="2"/>
    </row>
    <row r="334">
      <c r="B334" s="1"/>
      <c r="C334" s="2"/>
      <c r="D334" s="2"/>
      <c r="E334" s="2"/>
      <c r="F334" s="2"/>
      <c r="G334" s="13">
        <v>0.6367038547409015</v>
      </c>
      <c r="H334" s="14">
        <v>-0.060291051091669365</v>
      </c>
      <c r="I334" s="14">
        <v>-0.1978021766940709</v>
      </c>
      <c r="J334" s="14">
        <v>0.0627011039237549</v>
      </c>
      <c r="K334" s="15">
        <v>6.259392872448759E-4</v>
      </c>
      <c r="L334" s="2"/>
      <c r="M334" s="2"/>
      <c r="N334" s="2"/>
      <c r="O334" s="102"/>
      <c r="P334" s="2"/>
      <c r="Q334" s="2"/>
      <c r="R334" s="2"/>
      <c r="S334" s="2"/>
      <c r="T334" s="2"/>
      <c r="U334" s="2"/>
      <c r="V334" s="13">
        <v>-1.5473010328723966</v>
      </c>
      <c r="W334" s="14">
        <v>-0.17344811418418138</v>
      </c>
      <c r="X334" s="14">
        <v>-4.50301871413208</v>
      </c>
      <c r="Y334" s="14">
        <v>-0.3379603332557668</v>
      </c>
      <c r="Z334" s="15">
        <v>-4.927493098318326E-4</v>
      </c>
      <c r="AA334" s="2"/>
      <c r="AB334" s="2"/>
      <c r="AC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10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10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0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0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0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4" t="s">
        <v>67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B344" s="1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B347" s="194"/>
      <c r="C347" s="194"/>
      <c r="E347" s="195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B348" s="194"/>
      <c r="C348" s="194" t="s">
        <v>68</v>
      </c>
      <c r="E348" s="195" t="s">
        <v>69</v>
      </c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196" t="s">
        <v>70</v>
      </c>
      <c r="C349" s="21">
        <v>768.0</v>
      </c>
      <c r="E349" s="21">
        <v>10.0</v>
      </c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B351" s="6" t="s">
        <v>71</v>
      </c>
      <c r="C351" s="21">
        <v>12.0</v>
      </c>
      <c r="E351" s="21">
        <v>2.0</v>
      </c>
      <c r="F351" s="2"/>
      <c r="G351" s="2"/>
      <c r="H351" s="2"/>
      <c r="I351" s="2"/>
      <c r="J351" s="2"/>
      <c r="K351" s="2"/>
      <c r="L351" s="2"/>
      <c r="M351" s="2"/>
      <c r="N351" s="2"/>
      <c r="O351" s="3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B352" s="1"/>
      <c r="C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196" t="s">
        <v>72</v>
      </c>
      <c r="C353" s="2">
        <f>C349/C351</f>
        <v>64</v>
      </c>
      <c r="E353" s="2">
        <f>E349/E351</f>
        <v>5</v>
      </c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4" t="s">
        <v>76</v>
      </c>
      <c r="AA356" s="4"/>
      <c r="AB356" s="4"/>
      <c r="AC356" s="4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D358" s="6" t="s">
        <v>75</v>
      </c>
      <c r="E358" s="21">
        <v>10.0</v>
      </c>
      <c r="F358" s="2"/>
      <c r="G358" s="2"/>
      <c r="H358" s="2"/>
      <c r="I358" s="2"/>
      <c r="J358" s="2"/>
      <c r="K358" s="2"/>
      <c r="L358" s="2"/>
      <c r="M358" s="2"/>
      <c r="N358" s="2"/>
      <c r="O358" s="3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D359" s="6" t="s">
        <v>72</v>
      </c>
      <c r="E359" s="21">
        <v>5.0</v>
      </c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3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41"/>
      <c r="B361" s="41"/>
      <c r="C361" s="41"/>
      <c r="F361" s="41"/>
      <c r="G361" s="41"/>
      <c r="H361" s="41"/>
      <c r="I361" s="34" t="s">
        <v>2</v>
      </c>
      <c r="J361" s="198">
        <f t="shared" ref="J361:S361" si="126">NORMINV(rand(),0, 1)</f>
        <v>0.226958589</v>
      </c>
      <c r="K361" s="199">
        <f t="shared" si="126"/>
        <v>-0.6785033338</v>
      </c>
      <c r="L361" s="200">
        <f t="shared" si="126"/>
        <v>-0.7025282403</v>
      </c>
      <c r="M361" s="201">
        <f t="shared" si="126"/>
        <v>2.487738041</v>
      </c>
      <c r="N361" s="202">
        <f t="shared" si="126"/>
        <v>0.2408444237</v>
      </c>
      <c r="O361" s="203">
        <f t="shared" si="126"/>
        <v>-1.758198237</v>
      </c>
      <c r="P361" s="199">
        <f t="shared" si="126"/>
        <v>-0.8048114507</v>
      </c>
      <c r="Q361" s="200">
        <f t="shared" si="126"/>
        <v>1.534019272</v>
      </c>
      <c r="R361" s="201">
        <f t="shared" si="126"/>
        <v>-0.6360851624</v>
      </c>
      <c r="S361" s="204">
        <f t="shared" si="126"/>
        <v>-0.7159926433</v>
      </c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41"/>
      <c r="B362" s="41"/>
      <c r="C362" s="41"/>
      <c r="D362" s="41"/>
      <c r="E362" s="41"/>
      <c r="F362" s="41"/>
      <c r="G362" s="41"/>
      <c r="H362" s="41"/>
      <c r="I362" s="34" t="s">
        <v>3</v>
      </c>
      <c r="J362" s="205">
        <f t="shared" ref="J362:S362" si="127">NORMINV(rand(),0, 1)</f>
        <v>-0.784359432</v>
      </c>
      <c r="K362" s="84">
        <f t="shared" si="127"/>
        <v>1.287939602</v>
      </c>
      <c r="L362" s="206">
        <f t="shared" si="127"/>
        <v>-0.8130322628</v>
      </c>
      <c r="M362" s="207">
        <f t="shared" si="127"/>
        <v>-1.156061794</v>
      </c>
      <c r="N362" s="208">
        <f t="shared" si="127"/>
        <v>0.009770871839</v>
      </c>
      <c r="O362" s="209">
        <f t="shared" si="127"/>
        <v>1.268279207</v>
      </c>
      <c r="P362" s="84">
        <f t="shared" si="127"/>
        <v>-0.4925392596</v>
      </c>
      <c r="Q362" s="206">
        <f t="shared" si="127"/>
        <v>-1.281677644</v>
      </c>
      <c r="R362" s="207">
        <f t="shared" si="127"/>
        <v>-0.009530986126</v>
      </c>
      <c r="S362" s="210">
        <f t="shared" si="127"/>
        <v>-1.340928295</v>
      </c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211">
        <f t="shared" ref="J363:S363" si="128">NORMINV(rand(),0, 1)</f>
        <v>-1.984576878</v>
      </c>
      <c r="K363" s="212">
        <f t="shared" si="128"/>
        <v>-0.4016555377</v>
      </c>
      <c r="L363" s="213">
        <f t="shared" si="128"/>
        <v>2.098350561</v>
      </c>
      <c r="M363" s="214">
        <f t="shared" si="128"/>
        <v>0.4244703622</v>
      </c>
      <c r="N363" s="215">
        <f t="shared" si="128"/>
        <v>0.3199404108</v>
      </c>
      <c r="O363" s="216">
        <f t="shared" si="128"/>
        <v>0.4455885939</v>
      </c>
      <c r="P363" s="212">
        <f t="shared" si="128"/>
        <v>-0.126839357</v>
      </c>
      <c r="Q363" s="213">
        <f t="shared" si="128"/>
        <v>0.4536755722</v>
      </c>
      <c r="R363" s="214">
        <f t="shared" si="128"/>
        <v>-1.24819459</v>
      </c>
      <c r="S363" s="217">
        <f t="shared" si="128"/>
        <v>0.4363054009</v>
      </c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218">
        <f t="shared" ref="J364:S364" si="129">NORMINV(rand(),0, 1)</f>
        <v>-0.2896542177</v>
      </c>
      <c r="K364" s="219">
        <f t="shared" si="129"/>
        <v>0.7993318415</v>
      </c>
      <c r="L364" s="220">
        <f t="shared" si="129"/>
        <v>-0.1122655802</v>
      </c>
      <c r="M364" s="221">
        <f t="shared" si="129"/>
        <v>-2.037427059</v>
      </c>
      <c r="N364" s="83">
        <f t="shared" si="129"/>
        <v>-0.5307970121</v>
      </c>
      <c r="O364" s="222">
        <f t="shared" si="129"/>
        <v>-0.6380391598</v>
      </c>
      <c r="P364" s="219">
        <f t="shared" si="129"/>
        <v>0.9449211442</v>
      </c>
      <c r="Q364" s="220">
        <f t="shared" si="129"/>
        <v>-2.342306926</v>
      </c>
      <c r="R364" s="221">
        <f t="shared" si="129"/>
        <v>-1.35923534</v>
      </c>
      <c r="S364" s="223">
        <f t="shared" si="129"/>
        <v>0.1373294397</v>
      </c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224">
        <f t="shared" ref="J365:S365" si="130">NORMINV(rand(),0, 1)</f>
        <v>1.982810247</v>
      </c>
      <c r="K365" s="225">
        <f t="shared" si="130"/>
        <v>-1.545088273</v>
      </c>
      <c r="L365" s="226">
        <f t="shared" si="130"/>
        <v>-0.9441101351</v>
      </c>
      <c r="M365" s="227">
        <f t="shared" si="130"/>
        <v>-1.283450519</v>
      </c>
      <c r="N365" s="228">
        <f t="shared" si="130"/>
        <v>-0.06623144939</v>
      </c>
      <c r="O365" s="226">
        <f t="shared" si="130"/>
        <v>2.747541989</v>
      </c>
      <c r="P365" s="225">
        <f t="shared" si="130"/>
        <v>0.2439196914</v>
      </c>
      <c r="Q365" s="226">
        <f t="shared" si="130"/>
        <v>-0.8286296626</v>
      </c>
      <c r="R365" s="227">
        <f t="shared" si="130"/>
        <v>-1.766505899</v>
      </c>
      <c r="S365" s="229">
        <f t="shared" si="130"/>
        <v>-0.6085219955</v>
      </c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41"/>
      <c r="C366" s="41"/>
      <c r="D366" s="41"/>
      <c r="E366" s="41"/>
      <c r="F366" s="41"/>
      <c r="G366" s="41"/>
      <c r="H366" s="41"/>
      <c r="I366" s="41"/>
      <c r="J366" s="41"/>
      <c r="K366" s="94"/>
      <c r="L366" s="42" t="s">
        <v>4</v>
      </c>
      <c r="M366" s="94"/>
      <c r="N366" s="94"/>
      <c r="O366" s="3"/>
      <c r="P366" s="2"/>
      <c r="Q366" s="2"/>
      <c r="R366" s="42" t="s">
        <v>4</v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41"/>
      <c r="C367" s="41"/>
      <c r="D367" s="41"/>
      <c r="E367" s="41"/>
      <c r="F367" s="41"/>
      <c r="G367" s="41"/>
      <c r="H367" s="41"/>
      <c r="I367" s="41"/>
      <c r="J367" s="41"/>
      <c r="K367" s="41"/>
      <c r="L367" s="42" t="s">
        <v>4</v>
      </c>
      <c r="M367" s="94"/>
      <c r="N367" s="41"/>
      <c r="O367" s="3"/>
      <c r="P367" s="2"/>
      <c r="Q367" s="2"/>
      <c r="R367" s="42" t="s">
        <v>4</v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41"/>
      <c r="B368" s="66" t="s">
        <v>42</v>
      </c>
      <c r="C368" s="230">
        <f t="shared" ref="C368:G368" si="131">NORMINV(rand(),0, 1)</f>
        <v>-0.9001893195</v>
      </c>
      <c r="D368" s="231">
        <f t="shared" si="131"/>
        <v>-0.00773453161</v>
      </c>
      <c r="E368" s="232">
        <f t="shared" si="131"/>
        <v>0.7289336046</v>
      </c>
      <c r="F368" s="233">
        <f t="shared" si="131"/>
        <v>-1.55920068</v>
      </c>
      <c r="G368" s="234">
        <f t="shared" si="131"/>
        <v>0.3276747225</v>
      </c>
      <c r="H368" s="94"/>
      <c r="I368" s="66" t="s">
        <v>43</v>
      </c>
      <c r="J368" s="235">
        <f t="array" ref="J368:N372">MMULT(J361:S365,C368:G377)</f>
        <v>-4.290408778</v>
      </c>
      <c r="K368" s="236">
        <v>-1.6388402760703666</v>
      </c>
      <c r="L368" s="236">
        <v>2.4092004641188174</v>
      </c>
      <c r="M368" s="236">
        <v>0.9222617910853154</v>
      </c>
      <c r="N368" s="237">
        <v>3.734239656413772</v>
      </c>
      <c r="O368" s="3"/>
      <c r="P368" s="2"/>
      <c r="Q368" s="2"/>
      <c r="R368" s="42" t="s">
        <v>4</v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41"/>
      <c r="C369" s="238">
        <f t="shared" ref="C369:G369" si="132">NORMINV(rand(),0, 1)</f>
        <v>0.2441725211</v>
      </c>
      <c r="D369" s="239">
        <f t="shared" si="132"/>
        <v>0.2277749804</v>
      </c>
      <c r="E369" s="240">
        <f t="shared" si="132"/>
        <v>0.242131253</v>
      </c>
      <c r="F369" s="241">
        <f t="shared" si="132"/>
        <v>1.145566922</v>
      </c>
      <c r="G369" s="242">
        <f t="shared" si="132"/>
        <v>0.7452513785</v>
      </c>
      <c r="H369" s="94"/>
      <c r="I369" s="34" t="s">
        <v>7</v>
      </c>
      <c r="J369" s="243">
        <v>1.354367258510098</v>
      </c>
      <c r="K369" s="94">
        <v>2.1672933682065563</v>
      </c>
      <c r="L369" s="94">
        <v>-2.228209962748894</v>
      </c>
      <c r="M369" s="94">
        <v>2.2860721599688265</v>
      </c>
      <c r="N369" s="244">
        <v>1.378720090440349</v>
      </c>
      <c r="O369" s="3"/>
      <c r="P369" s="2"/>
      <c r="Q369" s="2"/>
      <c r="R369" s="42" t="s">
        <v>4</v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41"/>
      <c r="B370" s="41"/>
      <c r="C370" s="245">
        <f t="shared" ref="C370:G370" si="133">NORMINV(rand(),0, 1)</f>
        <v>1.408680213</v>
      </c>
      <c r="D370" s="246">
        <f t="shared" si="133"/>
        <v>1.673272272</v>
      </c>
      <c r="E370" s="247">
        <f t="shared" si="133"/>
        <v>2.008807649</v>
      </c>
      <c r="F370" s="248">
        <f t="shared" si="133"/>
        <v>-0.4451225934</v>
      </c>
      <c r="G370" s="249">
        <f t="shared" si="133"/>
        <v>-0.1409218435</v>
      </c>
      <c r="H370" s="42" t="s">
        <v>8</v>
      </c>
      <c r="I370" s="42" t="s">
        <v>8</v>
      </c>
      <c r="J370" s="243">
        <v>4.593196213749004</v>
      </c>
      <c r="K370" s="94">
        <v>3.00525038837872</v>
      </c>
      <c r="L370" s="94">
        <v>3.1627661791665</v>
      </c>
      <c r="M370" s="94">
        <v>1.2123031430057185</v>
      </c>
      <c r="N370" s="244">
        <v>-1.76408185464409</v>
      </c>
      <c r="O370" s="3"/>
      <c r="P370" s="2"/>
      <c r="Q370" s="2"/>
      <c r="R370" s="42" t="s">
        <v>4</v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41"/>
      <c r="B371" s="41"/>
      <c r="C371" s="250">
        <f t="shared" ref="C371:G371" si="134">NORMINV(rand(),0, 1)</f>
        <v>-0.5711718012</v>
      </c>
      <c r="D371" s="220">
        <f t="shared" si="134"/>
        <v>-0.6456536488</v>
      </c>
      <c r="E371" s="251">
        <f t="shared" si="134"/>
        <v>-0.3761706156</v>
      </c>
      <c r="F371" s="252">
        <f t="shared" si="134"/>
        <v>0.774553433</v>
      </c>
      <c r="G371" s="253">
        <f t="shared" si="134"/>
        <v>1.306763653</v>
      </c>
      <c r="H371" s="94"/>
      <c r="I371" s="41"/>
      <c r="J371" s="243">
        <v>2.605365971973998</v>
      </c>
      <c r="K371" s="94">
        <v>0.4550736234159717</v>
      </c>
      <c r="L371" s="94">
        <v>-1.7873525558585204</v>
      </c>
      <c r="M371" s="94">
        <v>6.700637965398163</v>
      </c>
      <c r="N371" s="244">
        <v>-0.4554567435235356</v>
      </c>
      <c r="O371" s="3"/>
      <c r="P371" s="2"/>
      <c r="Q371" s="2"/>
      <c r="R371" s="42" t="s">
        <v>4</v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41"/>
      <c r="C372" s="254">
        <f t="shared" ref="C372:G372" si="135">NORMINV(rand(),0, 1)</f>
        <v>-0.8904550861</v>
      </c>
      <c r="D372" s="255">
        <f t="shared" si="135"/>
        <v>0.7068668109</v>
      </c>
      <c r="E372" s="256">
        <f t="shared" si="135"/>
        <v>1.052149469</v>
      </c>
      <c r="F372" s="214">
        <f t="shared" si="135"/>
        <v>1.571213198</v>
      </c>
      <c r="G372" s="257">
        <f t="shared" si="135"/>
        <v>-0.03994450438</v>
      </c>
      <c r="H372" s="94"/>
      <c r="I372" s="41"/>
      <c r="J372" s="258">
        <v>-0.6742992198479818</v>
      </c>
      <c r="K372" s="259">
        <v>-0.41326775466475374</v>
      </c>
      <c r="L372" s="259">
        <v>-2.7730299155882157</v>
      </c>
      <c r="M372" s="259">
        <v>-8.271034714766591</v>
      </c>
      <c r="N372" s="260">
        <v>-2.2504721902313456</v>
      </c>
      <c r="O372" s="3"/>
      <c r="P372" s="2"/>
      <c r="Q372" s="2"/>
      <c r="R372" s="42" t="s">
        <v>4</v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B373" s="41"/>
      <c r="C373" s="261">
        <f t="shared" ref="C373:G373" si="136">NORMINV(rand(),0, 1)</f>
        <v>0.5255701774</v>
      </c>
      <c r="D373" s="262">
        <f t="shared" si="136"/>
        <v>0.04020549118</v>
      </c>
      <c r="E373" s="263">
        <f t="shared" si="136"/>
        <v>-0.9533200373</v>
      </c>
      <c r="F373" s="69">
        <f t="shared" si="136"/>
        <v>-1.910486049</v>
      </c>
      <c r="G373" s="264">
        <f t="shared" si="136"/>
        <v>-0.5277970919</v>
      </c>
      <c r="O373" s="3"/>
      <c r="P373" s="2"/>
      <c r="Q373" s="2"/>
      <c r="R373" s="42" t="s">
        <v>4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B374" s="41"/>
      <c r="C374" s="238">
        <f t="shared" ref="C374:G374" si="137">NORMINV(rand(),0, 1)</f>
        <v>0.01456874817</v>
      </c>
      <c r="D374" s="239">
        <f t="shared" si="137"/>
        <v>-1.278733512</v>
      </c>
      <c r="E374" s="240">
        <f t="shared" si="137"/>
        <v>-1.077795113</v>
      </c>
      <c r="F374" s="241">
        <f t="shared" si="137"/>
        <v>0.1592589175</v>
      </c>
      <c r="G374" s="242">
        <f t="shared" si="137"/>
        <v>-0.3819950135</v>
      </c>
      <c r="H374" s="2"/>
      <c r="I374" s="2"/>
      <c r="J374" s="2"/>
      <c r="K374" s="2"/>
      <c r="L374" s="2"/>
      <c r="M374" s="2"/>
      <c r="N374" s="2"/>
      <c r="O374" s="3"/>
      <c r="P374" s="2"/>
      <c r="Q374" s="2"/>
      <c r="R374" s="42" t="s">
        <v>4</v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B375" s="41"/>
      <c r="C375" s="245">
        <f t="shared" ref="C375:G375" si="138">NORMINV(rand(),0, 1)</f>
        <v>-0.2727179436</v>
      </c>
      <c r="D375" s="246">
        <f t="shared" si="138"/>
        <v>-0.362973689</v>
      </c>
      <c r="E375" s="247">
        <f t="shared" si="138"/>
        <v>0.78435703</v>
      </c>
      <c r="F375" s="248">
        <f t="shared" si="138"/>
        <v>-2.449932097</v>
      </c>
      <c r="G375" s="249">
        <f t="shared" si="138"/>
        <v>-0.7963945953</v>
      </c>
      <c r="H375" s="2"/>
      <c r="I375" s="2"/>
      <c r="J375" s="2"/>
      <c r="K375" s="2"/>
      <c r="L375" s="2"/>
      <c r="M375" s="2"/>
      <c r="N375" s="2"/>
      <c r="O375" s="3"/>
      <c r="P375" s="2"/>
      <c r="Q375" s="2"/>
      <c r="R375" s="42" t="s">
        <v>4</v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B376" s="41"/>
      <c r="C376" s="250">
        <f t="shared" ref="C376:G376" si="139">NORMINV(rand(),0, 1)</f>
        <v>-0.246594626</v>
      </c>
      <c r="D376" s="220">
        <f t="shared" si="139"/>
        <v>-0.02808925502</v>
      </c>
      <c r="E376" s="251">
        <f t="shared" si="139"/>
        <v>-0.432071157</v>
      </c>
      <c r="F376" s="252">
        <f t="shared" si="139"/>
        <v>-0.3918067979</v>
      </c>
      <c r="G376" s="253">
        <f t="shared" si="139"/>
        <v>0.01105845469</v>
      </c>
      <c r="H376" s="2"/>
      <c r="I376" s="2"/>
      <c r="J376" s="2"/>
      <c r="K376" s="2"/>
      <c r="L376" s="2"/>
      <c r="M376" s="2"/>
      <c r="N376" s="2"/>
      <c r="O376" s="3"/>
      <c r="P376" s="2"/>
      <c r="Q376" s="2"/>
      <c r="R376" s="42" t="s">
        <v>4</v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C377" s="265">
        <f t="shared" ref="C377:G377" si="140">NORMINV(rand(),0, 1)</f>
        <v>0.1370482884</v>
      </c>
      <c r="D377" s="266">
        <f t="shared" si="140"/>
        <v>-0.9908562568</v>
      </c>
      <c r="E377" s="267">
        <f t="shared" si="140"/>
        <v>-0.6705417978</v>
      </c>
      <c r="F377" s="268">
        <f t="shared" si="140"/>
        <v>0.4000427389</v>
      </c>
      <c r="G377" s="269">
        <f t="shared" si="140"/>
        <v>-1.143269701</v>
      </c>
      <c r="H377" s="2"/>
      <c r="I377" s="2"/>
      <c r="J377" s="2"/>
      <c r="K377" s="2"/>
      <c r="L377" s="2"/>
      <c r="M377" s="2"/>
      <c r="N377" s="2"/>
      <c r="R377" s="42" t="s">
        <v>4</v>
      </c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B378" s="1"/>
      <c r="O378" s="3"/>
      <c r="P378" s="2"/>
      <c r="Q378" s="2"/>
      <c r="R378" s="42" t="s">
        <v>4</v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B379" s="1"/>
      <c r="O379" s="3"/>
      <c r="P379" s="2"/>
      <c r="Q379" s="2"/>
      <c r="R379" s="42" t="s">
        <v>4</v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B380" s="66" t="s">
        <v>44</v>
      </c>
      <c r="C380" s="230">
        <f t="shared" ref="C380:G380" si="141">NORMINV(rand(),0, 1)</f>
        <v>-0.3991239151</v>
      </c>
      <c r="D380" s="231">
        <f t="shared" si="141"/>
        <v>0.8122790808</v>
      </c>
      <c r="E380" s="232">
        <f t="shared" si="141"/>
        <v>-0.5504913685</v>
      </c>
      <c r="F380" s="233">
        <f t="shared" si="141"/>
        <v>1.382074643</v>
      </c>
      <c r="G380" s="234">
        <f t="shared" si="141"/>
        <v>0.893011747</v>
      </c>
      <c r="H380" s="94"/>
      <c r="I380" s="66" t="s">
        <v>45</v>
      </c>
      <c r="J380" s="235">
        <f t="array" ref="J380:N384">MMULT(J361:S365, C380:G389)</f>
        <v>6.9591175</v>
      </c>
      <c r="K380" s="236">
        <v>2.8593273959846686</v>
      </c>
      <c r="L380" s="236">
        <v>3.368695368014272</v>
      </c>
      <c r="M380" s="236">
        <v>1.3506396973713748</v>
      </c>
      <c r="N380" s="237">
        <v>6.581120535951209</v>
      </c>
      <c r="O380" s="3"/>
      <c r="P380" s="2"/>
      <c r="Q380" s="2"/>
      <c r="R380" s="42" t="s">
        <v>4</v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C381" s="238">
        <f t="shared" ref="C381:G381" si="142">NORMINV(rand(),0, 1)</f>
        <v>0.3445553711</v>
      </c>
      <c r="D381" s="239">
        <f t="shared" si="142"/>
        <v>0.4273870255</v>
      </c>
      <c r="E381" s="240">
        <f t="shared" si="142"/>
        <v>-0.5155373773</v>
      </c>
      <c r="F381" s="241">
        <f t="shared" si="142"/>
        <v>1.339268402</v>
      </c>
      <c r="G381" s="242">
        <f t="shared" si="142"/>
        <v>0.004549357021</v>
      </c>
      <c r="H381" s="94"/>
      <c r="I381" s="34" t="s">
        <v>7</v>
      </c>
      <c r="J381" s="243">
        <v>1.2420368189434523</v>
      </c>
      <c r="K381" s="94">
        <v>-2.0330232225658893</v>
      </c>
      <c r="L381" s="94">
        <v>-0.5610936731626075</v>
      </c>
      <c r="M381" s="94">
        <v>-3.802435045722629</v>
      </c>
      <c r="N381" s="244">
        <v>0.2500711081012714</v>
      </c>
      <c r="O381" s="21" t="s">
        <v>41</v>
      </c>
      <c r="P381" s="21" t="s">
        <v>41</v>
      </c>
      <c r="Q381" s="21" t="s">
        <v>41</v>
      </c>
      <c r="R381" s="4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B382" s="41"/>
      <c r="C382" s="245">
        <f t="shared" ref="C382:G382" si="143">NORMINV(rand(),0, 1)</f>
        <v>-1.048191777</v>
      </c>
      <c r="D382" s="246">
        <f t="shared" si="143"/>
        <v>-1.494903158</v>
      </c>
      <c r="E382" s="247">
        <f t="shared" si="143"/>
        <v>-0.03956330298</v>
      </c>
      <c r="F382" s="248">
        <f t="shared" si="143"/>
        <v>1.131735325</v>
      </c>
      <c r="G382" s="249">
        <f t="shared" si="143"/>
        <v>-1.23071351</v>
      </c>
      <c r="H382" s="42" t="s">
        <v>8</v>
      </c>
      <c r="I382" s="42" t="s">
        <v>8</v>
      </c>
      <c r="J382" s="243">
        <v>-0.02522939798001378</v>
      </c>
      <c r="K382" s="94">
        <v>-6.615867404339525</v>
      </c>
      <c r="L382" s="94">
        <v>0.513859319664353</v>
      </c>
      <c r="M382" s="94">
        <v>-2.7786937224862207</v>
      </c>
      <c r="N382" s="244">
        <v>-3.3266873393627683</v>
      </c>
      <c r="O382" s="3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B383" s="41"/>
      <c r="C383" s="250">
        <f t="shared" ref="C383:G383" si="144">NORMINV(rand(),0, 1)</f>
        <v>1.113348576</v>
      </c>
      <c r="D383" s="220">
        <f t="shared" si="144"/>
        <v>-1.062921886</v>
      </c>
      <c r="E383" s="251">
        <f t="shared" si="144"/>
        <v>1.27499557</v>
      </c>
      <c r="F383" s="252">
        <f t="shared" si="144"/>
        <v>1.103526908</v>
      </c>
      <c r="G383" s="253">
        <f t="shared" si="144"/>
        <v>-0.02003181409</v>
      </c>
      <c r="H383" s="94"/>
      <c r="I383" s="41"/>
      <c r="J383" s="243">
        <v>-4.13300886229743</v>
      </c>
      <c r="K383" s="94">
        <v>0.22490004216593135</v>
      </c>
      <c r="L383" s="94">
        <v>-2.810315503915349</v>
      </c>
      <c r="M383" s="94">
        <v>-5.335549394473361</v>
      </c>
      <c r="N383" s="244">
        <v>2.243857813231059</v>
      </c>
      <c r="O383" s="3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C384" s="254">
        <f t="shared" ref="C384:G384" si="145">NORMINV(rand(),0, 1)</f>
        <v>0.837256332</v>
      </c>
      <c r="D384" s="255">
        <f t="shared" si="145"/>
        <v>0.3024546634</v>
      </c>
      <c r="E384" s="256">
        <f t="shared" si="145"/>
        <v>0.170094604</v>
      </c>
      <c r="F384" s="214">
        <f t="shared" si="145"/>
        <v>1.46230137</v>
      </c>
      <c r="G384" s="257">
        <f t="shared" si="145"/>
        <v>0.5149587179</v>
      </c>
      <c r="H384" s="94"/>
      <c r="I384" s="41"/>
      <c r="J384" s="258">
        <v>-1.9285741742545526</v>
      </c>
      <c r="K384" s="259">
        <v>-3.1527038349204255</v>
      </c>
      <c r="L384" s="259">
        <v>-2.158014769695565</v>
      </c>
      <c r="M384" s="259">
        <v>-7.0686534855534155</v>
      </c>
      <c r="N384" s="260">
        <v>2.498146246417057</v>
      </c>
      <c r="O384" s="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B385" s="41"/>
      <c r="C385" s="261">
        <f t="shared" ref="C385:G385" si="146">NORMINV(rand(),0, 1)</f>
        <v>-0.2788129057</v>
      </c>
      <c r="D385" s="262">
        <f t="shared" si="146"/>
        <v>-1.861723213</v>
      </c>
      <c r="E385" s="263">
        <f t="shared" si="146"/>
        <v>-0.09889088822</v>
      </c>
      <c r="F385" s="69">
        <f t="shared" si="146"/>
        <v>-0.5070599877</v>
      </c>
      <c r="G385" s="264">
        <f t="shared" si="146"/>
        <v>-1.574809807</v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B386" s="41"/>
      <c r="C386" s="238">
        <f t="shared" ref="C386:G386" si="147">NORMINV(rand(),0, 1)</f>
        <v>-1.8765162</v>
      </c>
      <c r="D386" s="239">
        <f t="shared" si="147"/>
        <v>1.494852075</v>
      </c>
      <c r="E386" s="240">
        <f t="shared" si="147"/>
        <v>0.7206034917</v>
      </c>
      <c r="F386" s="241">
        <f t="shared" si="147"/>
        <v>1.845861995</v>
      </c>
      <c r="G386" s="242">
        <f t="shared" si="147"/>
        <v>0.02240440575</v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B387" s="41"/>
      <c r="C387" s="245">
        <f t="shared" ref="C387:G387" si="148">NORMINV(rand(),0, 1)</f>
        <v>0.4550489475</v>
      </c>
      <c r="D387" s="246">
        <f t="shared" si="148"/>
        <v>1.583219321</v>
      </c>
      <c r="E387" s="247">
        <f t="shared" si="148"/>
        <v>-0.09786444634</v>
      </c>
      <c r="F387" s="248">
        <f t="shared" si="148"/>
        <v>0.8714202392</v>
      </c>
      <c r="G387" s="249">
        <f t="shared" si="148"/>
        <v>0.251357843</v>
      </c>
      <c r="H387" s="2"/>
      <c r="I387" s="2"/>
      <c r="J387" s="2"/>
      <c r="K387" s="2"/>
      <c r="L387" s="2"/>
      <c r="M387" s="2"/>
      <c r="N387" s="2"/>
      <c r="O387" s="3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B388" s="41"/>
      <c r="C388" s="250">
        <f t="shared" ref="C388:G388" si="149">NORMINV(rand(),0, 1)</f>
        <v>-0.6079091513</v>
      </c>
      <c r="D388" s="220">
        <f t="shared" si="149"/>
        <v>0.6405302416</v>
      </c>
      <c r="E388" s="251">
        <f t="shared" si="149"/>
        <v>0.5125750541</v>
      </c>
      <c r="F388" s="252">
        <f t="shared" si="149"/>
        <v>2.087180624</v>
      </c>
      <c r="G388" s="253">
        <f t="shared" si="149"/>
        <v>-1.754210887</v>
      </c>
      <c r="H388" s="2"/>
      <c r="I388" s="2"/>
      <c r="J388" s="2"/>
      <c r="K388" s="2"/>
      <c r="L388" s="2"/>
      <c r="M388" s="2"/>
      <c r="N388" s="2"/>
      <c r="O388" s="3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C389" s="265">
        <f t="shared" ref="C389:G389" si="150">NORMINV(rand(),0, 1)</f>
        <v>-0.6851267172</v>
      </c>
      <c r="D389" s="266">
        <f t="shared" si="150"/>
        <v>-0.5512775047</v>
      </c>
      <c r="E389" s="267">
        <f t="shared" si="150"/>
        <v>-1.097039366</v>
      </c>
      <c r="F389" s="268">
        <f t="shared" si="150"/>
        <v>-0.3186836778</v>
      </c>
      <c r="G389" s="269">
        <f t="shared" si="150"/>
        <v>-1.662750019</v>
      </c>
      <c r="H389" s="2"/>
      <c r="I389" s="2"/>
      <c r="J389" s="2"/>
      <c r="K389" s="2"/>
      <c r="L389" s="2"/>
      <c r="M389" s="2"/>
      <c r="N389" s="2"/>
      <c r="O389" s="3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3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3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3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3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3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3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3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3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3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3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3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3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3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3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3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3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3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</sheetData>
  <mergeCells count="18">
    <mergeCell ref="A10:Z10"/>
    <mergeCell ref="C12:E12"/>
    <mergeCell ref="A25:Z25"/>
    <mergeCell ref="C27:E27"/>
    <mergeCell ref="A40:Z40"/>
    <mergeCell ref="C42:E42"/>
    <mergeCell ref="A55:Z55"/>
    <mergeCell ref="A349:B350"/>
    <mergeCell ref="A353:B354"/>
    <mergeCell ref="A356:Z356"/>
    <mergeCell ref="C361:E361"/>
    <mergeCell ref="A81:Z81"/>
    <mergeCell ref="A117:Z117"/>
    <mergeCell ref="A143:Z143"/>
    <mergeCell ref="A162:Z162"/>
    <mergeCell ref="A199:Z199"/>
    <mergeCell ref="A251:Z251"/>
    <mergeCell ref="A289:Z289"/>
  </mergeCells>
  <conditionalFormatting sqref="J12:O16 J368:N372 J380:N38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9:G2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9:J23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9:O24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7:N31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4:G38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4:N38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42:N46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9:G53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49:N53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63:G67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63:N67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63:U67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63:AC67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69:G74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70:N74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70:U74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70:AC74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7:G80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77:N80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77:U80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77:AC80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83:O87">
    <cfRule type="colorScale" priority="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90:O94">
    <cfRule type="colorScale" priority="2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97:G101">
    <cfRule type="colorScale" priority="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49:N153">
    <cfRule type="colorScale" priority="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56:N160">
    <cfRule type="colorScale" priority="2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65:G169">
    <cfRule type="colorScale" priority="2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65:N169">
    <cfRule type="colorScale" priority="2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165:U169">
    <cfRule type="colorScale" priority="3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71:G176">
    <cfRule type="colorScale" priority="3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72:N176">
    <cfRule type="colorScale" priority="3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172:U176">
    <cfRule type="colorScale" priority="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179:R183">
    <cfRule type="colorScale" priority="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93:G197">
    <cfRule type="colorScale" priority="3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93:M197">
    <cfRule type="colorScale" priority="3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93:N194">
    <cfRule type="colorScale" priority="3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193:T197">
    <cfRule type="colorScale" priority="3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96:N197">
    <cfRule type="colorScale" priority="3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227">
    <cfRule type="colorScale" priority="4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U227">
    <cfRule type="colorScale" priority="4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309">
    <cfRule type="colorScale" priority="4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9:J23">
    <cfRule type="colorScale" priority="4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9:O24">
    <cfRule type="colorScale" priority="4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20:P24">
    <cfRule type="colorScale" priority="4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26:P26">
    <cfRule type="colorScale" priority="4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4:N38">
    <cfRule type="colorScale" priority="4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41:P41">
    <cfRule type="colorScale" priority="4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49:N53">
    <cfRule type="colorScale" priority="4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11:N115">
    <cfRule type="colorScale" priority="50">
      <colorScale>
        <cfvo type="min"/>
        <cfvo type="max"/>
        <color rgb="FFFFFFFF"/>
        <color rgb="FF57BB8A"/>
      </colorScale>
    </cfRule>
  </conditionalFormatting>
  <conditionalFormatting sqref="J137:N141">
    <cfRule type="colorScale" priority="51">
      <colorScale>
        <cfvo type="min"/>
        <cfvo type="max"/>
        <color rgb="FFFFFFFF"/>
        <color rgb="FF57BB8A"/>
      </colorScale>
    </cfRule>
  </conditionalFormatting>
  <conditionalFormatting sqref="C156:G160">
    <cfRule type="colorScale" priority="52">
      <colorScale>
        <cfvo type="min"/>
        <cfvo type="max"/>
        <color rgb="FFFFFFFF"/>
        <color rgb="FF57BB8A"/>
      </colorScale>
    </cfRule>
  </conditionalFormatting>
  <conditionalFormatting sqref="J97:N108">
    <cfRule type="colorScale" priority="5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23:N127">
    <cfRule type="colorScale" priority="5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30:J134">
    <cfRule type="colorScale" priority="5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30:J134">
    <cfRule type="colorScale" priority="5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31:K134">
    <cfRule type="colorScale" priority="5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31:K134">
    <cfRule type="colorScale" priority="5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32:L134">
    <cfRule type="colorScale" priority="5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32:L134">
    <cfRule type="colorScale" priority="6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133:M134">
    <cfRule type="colorScale" priority="6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34">
    <cfRule type="colorScale" priority="6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30:N134">
    <cfRule type="cellIs" dxfId="0" priority="63" stopIfTrue="1" operator="equal">
      <formula>-99</formula>
    </cfRule>
  </conditionalFormatting>
  <conditionalFormatting sqref="C179:D185">
    <cfRule type="cellIs" dxfId="0" priority="64" stopIfTrue="1" operator="equal">
      <formula>-99</formula>
    </cfRule>
  </conditionalFormatting>
  <conditionalFormatting sqref="E179:H190">
    <cfRule type="cellIs" dxfId="0" priority="65" stopIfTrue="1" operator="equal">
      <formula>-99</formula>
    </cfRule>
  </conditionalFormatting>
  <conditionalFormatting sqref="I186:I190">
    <cfRule type="cellIs" dxfId="0" priority="66" stopIfTrue="1" operator="equal">
      <formula>-99</formula>
    </cfRule>
  </conditionalFormatting>
  <conditionalFormatting sqref="Y201:AC205">
    <cfRule type="cellIs" dxfId="0" priority="67" stopIfTrue="1" operator="equal">
      <formula>-99</formula>
    </cfRule>
  </conditionalFormatting>
  <conditionalFormatting sqref="Y291:AC295">
    <cfRule type="cellIs" dxfId="0" priority="68" stopIfTrue="1" operator="equal">
      <formula>-99</formula>
    </cfRule>
  </conditionalFormatting>
  <conditionalFormatting sqref="C130:N134">
    <cfRule type="cellIs" dxfId="1" priority="69" stopIfTrue="1" operator="equal">
      <formula>0</formula>
    </cfRule>
  </conditionalFormatting>
  <conditionalFormatting sqref="C179:D185">
    <cfRule type="cellIs" dxfId="1" priority="70" stopIfTrue="1" operator="equal">
      <formula>0</formula>
    </cfRule>
  </conditionalFormatting>
  <conditionalFormatting sqref="E179:H190">
    <cfRule type="cellIs" dxfId="1" priority="71" stopIfTrue="1" operator="equal">
      <formula>0</formula>
    </cfRule>
  </conditionalFormatting>
  <conditionalFormatting sqref="I186:I190">
    <cfRule type="cellIs" dxfId="1" priority="72" stopIfTrue="1" operator="equal">
      <formula>0</formula>
    </cfRule>
  </conditionalFormatting>
  <conditionalFormatting sqref="Y201:AC205">
    <cfRule type="cellIs" dxfId="1" priority="73" stopIfTrue="1" operator="equal">
      <formula>0</formula>
    </cfRule>
  </conditionalFormatting>
  <conditionalFormatting sqref="Y291:AC295">
    <cfRule type="cellIs" dxfId="1" priority="74" stopIfTrue="1" operator="equal">
      <formula>0</formula>
    </cfRule>
  </conditionalFormatting>
  <conditionalFormatting sqref="M186:M187">
    <cfRule type="colorScale" priority="75">
      <colorScale>
        <cfvo type="min"/>
        <cfvo type="max"/>
        <color rgb="FFFFFFFF"/>
        <color rgb="FF57BB8A"/>
      </colorScale>
    </cfRule>
  </conditionalFormatting>
  <conditionalFormatting sqref="M189:M190">
    <cfRule type="colorScale" priority="76">
      <colorScale>
        <cfvo type="min"/>
        <cfvo type="max"/>
        <color rgb="FFFFFFFF"/>
        <color rgb="FF57BB8A"/>
      </colorScale>
    </cfRule>
  </conditionalFormatting>
  <conditionalFormatting sqref="F234:F235">
    <cfRule type="colorScale" priority="77">
      <colorScale>
        <cfvo type="min"/>
        <cfvo type="max"/>
        <color rgb="FFFFFFFF"/>
        <color rgb="FF57BB8A"/>
      </colorScale>
    </cfRule>
  </conditionalFormatting>
  <conditionalFormatting sqref="F237:F238">
    <cfRule type="colorScale" priority="78">
      <colorScale>
        <cfvo type="min"/>
        <cfvo type="max"/>
        <color rgb="FFFFFFFF"/>
        <color rgb="FF57BB8A"/>
      </colorScale>
    </cfRule>
  </conditionalFormatting>
  <conditionalFormatting sqref="K273:L273">
    <cfRule type="colorScale" priority="79">
      <colorScale>
        <cfvo type="min"/>
        <cfvo type="max"/>
        <color rgb="FFFFFFFF"/>
        <color rgb="FF57BB8A"/>
      </colorScale>
    </cfRule>
  </conditionalFormatting>
  <conditionalFormatting sqref="M316:M317">
    <cfRule type="colorScale" priority="80">
      <colorScale>
        <cfvo type="min"/>
        <cfvo type="max"/>
        <color rgb="FFFFFFFF"/>
        <color rgb="FF57BB8A"/>
      </colorScale>
    </cfRule>
  </conditionalFormatting>
  <conditionalFormatting sqref="M319:M320">
    <cfRule type="colorScale" priority="81">
      <colorScale>
        <cfvo type="min"/>
        <cfvo type="max"/>
        <color rgb="FFFFFFFF"/>
        <color rgb="FF57BB8A"/>
      </colorScale>
    </cfRule>
  </conditionalFormatting>
  <conditionalFormatting sqref="M201:T205">
    <cfRule type="colorScale" priority="8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291:T295">
    <cfRule type="colorScale" priority="8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293">
    <cfRule type="colorScale" priority="8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08:G212">
    <cfRule type="colorScale" priority="8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08:N212">
    <cfRule type="colorScale" priority="8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08:V212">
    <cfRule type="colorScale" priority="8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08:AC212">
    <cfRule type="colorScale" priority="8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14:G218">
    <cfRule type="colorScale" priority="8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14:N218">
    <cfRule type="colorScale" priority="9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14:V218">
    <cfRule type="colorScale" priority="9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14:AC218">
    <cfRule type="colorScale" priority="9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20:G224">
    <cfRule type="colorScale" priority="9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20:N224">
    <cfRule type="colorScale" priority="9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20:V224">
    <cfRule type="colorScale" priority="9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20:AC224">
    <cfRule type="colorScale" priority="9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59:G263">
    <cfRule type="colorScale" priority="9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59:M263">
    <cfRule type="colorScale" priority="9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259:S263">
    <cfRule type="colorScale" priority="9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266:S270">
    <cfRule type="colorScale" priority="10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273:I287">
    <cfRule type="colorScale" priority="10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273:P277">
    <cfRule type="colorScale" priority="10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97:N308">
    <cfRule type="colorScale" priority="10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297:O301">
    <cfRule type="colorScale" priority="10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297:Q307">
    <cfRule type="colorScale" priority="10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97:V308">
    <cfRule type="colorScale" priority="10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98:D302">
    <cfRule type="colorScale" priority="10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298:F302">
    <cfRule type="colorScale" priority="10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98:I302">
    <cfRule type="colorScale" priority="10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98:AC302">
    <cfRule type="colorScale" priority="1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303:O307">
    <cfRule type="colorScale" priority="1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04:D308">
    <cfRule type="colorScale" priority="1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304:F308">
    <cfRule type="colorScale" priority="1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304:I307">
    <cfRule type="colorScale" priority="1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304:AC308">
    <cfRule type="colorScale" priority="1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23:G327">
    <cfRule type="colorScale" priority="1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23:N327">
    <cfRule type="colorScale" priority="1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323:V327">
    <cfRule type="colorScale" priority="1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323:AC327">
    <cfRule type="colorScale" priority="1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330:K334">
    <cfRule type="colorScale" priority="1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330:Z334">
    <cfRule type="colorScale" priority="1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227:Z231">
    <cfRule type="colorScale" priority="1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310:V314">
    <cfRule type="colorScale" priority="1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310:Z314">
    <cfRule type="colorScale" priority="12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27:K231">
    <cfRule type="colorScale" priority="1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309:U313">
    <cfRule type="colorScale" priority="1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234:Z238">
    <cfRule type="colorScale" priority="127">
      <colorScale>
        <cfvo type="min"/>
        <cfvo type="max"/>
        <color rgb="FFFFFFFF"/>
        <color rgb="FF57BB8A"/>
      </colorScale>
    </cfRule>
  </conditionalFormatting>
  <conditionalFormatting sqref="V317:V321">
    <cfRule type="colorScale" priority="128">
      <colorScale>
        <cfvo type="min"/>
        <cfvo type="max"/>
        <color rgb="FFFFFFFF"/>
        <color rgb="FF57BB8A"/>
      </colorScale>
    </cfRule>
  </conditionalFormatting>
  <conditionalFormatting sqref="X317:Z321">
    <cfRule type="colorScale" priority="129">
      <colorScale>
        <cfvo type="min"/>
        <cfvo type="max"/>
        <color rgb="FFFFFFFF"/>
        <color rgb="FF57BB8A"/>
      </colorScale>
    </cfRule>
  </conditionalFormatting>
  <conditionalFormatting sqref="N316:U320">
    <cfRule type="colorScale" priority="130">
      <colorScale>
        <cfvo type="min"/>
        <cfvo type="max"/>
        <color rgb="FFFFFFFF"/>
        <color rgb="FF57BB8A"/>
      </colorScale>
    </cfRule>
  </conditionalFormatting>
  <conditionalFormatting sqref="N186:R190">
    <cfRule type="colorScale" priority="131">
      <colorScale>
        <cfvo type="min"/>
        <cfvo type="max"/>
        <color rgb="FFFFFFFF"/>
        <color rgb="FF57BB8A"/>
      </colorScale>
    </cfRule>
  </conditionalFormatting>
  <conditionalFormatting sqref="G234:K238">
    <cfRule type="colorScale" priority="132">
      <colorScale>
        <cfvo type="min"/>
        <cfvo type="max"/>
        <color rgb="FFFFFFFF"/>
        <color rgb="FF57BB8A"/>
      </colorScale>
    </cfRule>
  </conditionalFormatting>
  <conditionalFormatting sqref="V241:Z245">
    <cfRule type="colorScale" priority="1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41:K245">
    <cfRule type="colorScale" priority="1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