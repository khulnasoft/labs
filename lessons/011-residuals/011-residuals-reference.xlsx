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 Answers" sheetId="1" r:id="rId5"/>
    <sheet state="visible" name="w Answers" sheetId="2" r:id="rId6"/>
  </sheets>
  <definedNames/>
  <calcPr/>
</workbook>
</file>

<file path=xl/sharedStrings.xml><?xml version="1.0" encoding="utf-8"?>
<sst xmlns="http://schemas.openxmlformats.org/spreadsheetml/2006/main" count="140" uniqueCount="24">
  <si>
    <t>Matrix addition: math</t>
  </si>
  <si>
    <t>Matrix 1</t>
  </si>
  <si>
    <t>⬇</t>
  </si>
  <si>
    <t>M1+M2</t>
  </si>
  <si>
    <t>Matrix 2</t>
  </si>
  <si>
    <t>⬅</t>
  </si>
  <si>
    <t xml:space="preserve">Matrix addition: Matrix addition </t>
  </si>
  <si>
    <t xml:space="preserve">Residual: Addition </t>
  </si>
  <si>
    <t>Input</t>
  </si>
  <si>
    <t>Matrix1</t>
  </si>
  <si>
    <t>Input @ M1</t>
  </si>
  <si>
    <t>(Learned)</t>
  </si>
  <si>
    <t>➡</t>
  </si>
  <si>
    <t>Residual</t>
  </si>
  <si>
    <t>Residual: Addition, 2 MatMul+ReLU</t>
  </si>
  <si>
    <t>Matrix2</t>
  </si>
  <si>
    <t xml:space="preserve">Input @ </t>
  </si>
  <si>
    <t>M1 @ M2</t>
  </si>
  <si>
    <t>ReLU</t>
  </si>
  <si>
    <t xml:space="preserve">Concatenation Residuals </t>
  </si>
  <si>
    <t xml:space="preserve">Scaled/ReZero Residuals </t>
  </si>
  <si>
    <t>Multiplier</t>
  </si>
  <si>
    <t>(Input @ M1)</t>
  </si>
  <si>
    <t>* Multiplier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</si>
</sst>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#,##0.0"/>
  </numFmts>
  <fonts count="6">
    <font>
      <sz val="10.0"/>
      <color rgb="FF000000"/>
      <name val="Arial"/>
      <scheme val="minor"/>
    </font>
    <font>
      <color rgb="FFB7B7B7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color rgb="FFB7B7B7"/>
      <name val="Arial"/>
    </font>
  </fonts>
  <fills count="7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9E6"/>
        <bgColor rgb="FFFFF9E6"/>
      </patternFill>
    </fill>
    <fill>
      <patternFill patternType="solid">
        <fgColor rgb="FFFFF6DD"/>
        <bgColor rgb="FFFFF6DD"/>
      </patternFill>
    </fill>
    <fill>
      <patternFill patternType="solid">
        <fgColor rgb="FFFFF4D6"/>
        <bgColor rgb="FFFFF4D6"/>
      </patternFill>
    </fill>
    <fill>
      <patternFill patternType="solid">
        <fgColor rgb="FFFFF8E4"/>
        <bgColor rgb="FFFFF8E4"/>
      </patternFill>
    </fill>
    <fill>
      <patternFill patternType="solid">
        <fgColor rgb="FFFFF9E9"/>
        <bgColor rgb="FFFFF9E9"/>
      </patternFill>
    </fill>
    <fill>
      <patternFill patternType="solid">
        <fgColor rgb="FFFFF2CC"/>
        <bgColor rgb="FFFFF2CC"/>
      </patternFill>
    </fill>
    <fill>
      <patternFill patternType="solid">
        <fgColor rgb="FFFFFAEC"/>
        <bgColor rgb="FFFFFAEC"/>
      </patternFill>
    </fill>
    <fill>
      <patternFill patternType="solid">
        <fgColor rgb="FFFFF5D7"/>
        <bgColor rgb="FFFFF5D7"/>
      </patternFill>
    </fill>
    <fill>
      <patternFill patternType="solid">
        <fgColor rgb="FFFFF9E8"/>
        <bgColor rgb="FFFFF9E8"/>
      </patternFill>
    </fill>
    <fill>
      <patternFill patternType="solid">
        <fgColor rgb="FFFFFBF0"/>
        <bgColor rgb="FFFFFBF0"/>
      </patternFill>
    </fill>
    <fill>
      <patternFill patternType="solid">
        <fgColor rgb="FFFFF8E3"/>
        <bgColor rgb="FFFFF8E3"/>
      </patternFill>
    </fill>
    <fill>
      <patternFill patternType="solid">
        <fgColor rgb="FFFFFBED"/>
        <bgColor rgb="FFFFFBED"/>
      </patternFill>
    </fill>
    <fill>
      <patternFill patternType="solid">
        <fgColor rgb="FFFFFBF1"/>
        <bgColor rgb="FFFFFBF1"/>
      </patternFill>
    </fill>
    <fill>
      <patternFill patternType="solid">
        <fgColor rgb="FFFFFDF6"/>
        <bgColor rgb="FFFFFDF6"/>
      </patternFill>
    </fill>
    <fill>
      <patternFill patternType="solid">
        <fgColor rgb="FFFFF7E0"/>
        <bgColor rgb="FFFFF7E0"/>
      </patternFill>
    </fill>
    <fill>
      <patternFill patternType="solid">
        <fgColor rgb="FFFFF4D4"/>
        <bgColor rgb="FFFFF4D4"/>
      </patternFill>
    </fill>
    <fill>
      <patternFill patternType="solid">
        <fgColor rgb="FFFFF7DF"/>
        <bgColor rgb="FFFFF7DF"/>
      </patternFill>
    </fill>
    <fill>
      <patternFill patternType="solid">
        <fgColor rgb="FFFFFAED"/>
        <bgColor rgb="FFFFFAED"/>
      </patternFill>
    </fill>
    <fill>
      <patternFill patternType="solid">
        <fgColor rgb="FFFFF2CD"/>
        <bgColor rgb="FFFFF2CD"/>
      </patternFill>
    </fill>
    <fill>
      <patternFill patternType="solid">
        <fgColor rgb="FFFFF1CB"/>
        <bgColor rgb="FFFFF1CB"/>
      </patternFill>
    </fill>
    <fill>
      <patternFill patternType="solid">
        <fgColor rgb="FFFFF8E2"/>
        <bgColor rgb="FFFFF8E2"/>
      </patternFill>
    </fill>
    <fill>
      <patternFill patternType="solid">
        <fgColor rgb="FFFFF0C5"/>
        <bgColor rgb="FFFFF0C5"/>
      </patternFill>
    </fill>
    <fill>
      <patternFill patternType="solid">
        <fgColor rgb="FFFFF6DC"/>
        <bgColor rgb="FFFFF6DC"/>
      </patternFill>
    </fill>
    <fill>
      <patternFill patternType="solid">
        <fgColor rgb="FFFFF2CE"/>
        <bgColor rgb="FFFFF2CE"/>
      </patternFill>
    </fill>
    <fill>
      <patternFill patternType="solid">
        <fgColor rgb="FFFFEBB4"/>
        <bgColor rgb="FFFFEBB4"/>
      </patternFill>
    </fill>
    <fill>
      <patternFill patternType="solid">
        <fgColor rgb="FFFFE59D"/>
        <bgColor rgb="FFFFE59D"/>
      </patternFill>
    </fill>
    <fill>
      <patternFill patternType="solid">
        <fgColor rgb="FFFFE49B"/>
        <bgColor rgb="FFFFE49B"/>
      </patternFill>
    </fill>
    <fill>
      <patternFill patternType="solid">
        <fgColor rgb="FFFFF1C9"/>
        <bgColor rgb="FFFFF1C9"/>
      </patternFill>
    </fill>
    <fill>
      <patternFill patternType="solid">
        <fgColor rgb="FFFFE8A9"/>
        <bgColor rgb="FFFFE8A9"/>
      </patternFill>
    </fill>
    <fill>
      <patternFill patternType="solid">
        <fgColor rgb="FFFFEDB9"/>
        <bgColor rgb="FFFFEDB9"/>
      </patternFill>
    </fill>
    <fill>
      <patternFill patternType="solid">
        <fgColor rgb="FFFFEDBC"/>
        <bgColor rgb="FFFFEDBC"/>
      </patternFill>
    </fill>
    <fill>
      <patternFill patternType="solid">
        <fgColor rgb="FFFFE9AD"/>
        <bgColor rgb="FFFFE9AD"/>
      </patternFill>
    </fill>
    <fill>
      <patternFill patternType="solid">
        <fgColor rgb="FFFFECB9"/>
        <bgColor rgb="FFFFECB9"/>
      </patternFill>
    </fill>
    <fill>
      <patternFill patternType="solid">
        <fgColor rgb="FFFFEEBE"/>
        <bgColor rgb="FFFFEEBE"/>
      </patternFill>
    </fill>
    <fill>
      <patternFill patternType="solid">
        <fgColor rgb="FFFFE395"/>
        <bgColor rgb="FFFFE395"/>
      </patternFill>
    </fill>
    <fill>
      <patternFill patternType="solid">
        <fgColor rgb="FFFFE8A7"/>
        <bgColor rgb="FFFFE8A7"/>
      </patternFill>
    </fill>
    <fill>
      <patternFill patternType="solid">
        <fgColor rgb="FFFFE8A8"/>
        <bgColor rgb="FFFFE8A8"/>
      </patternFill>
    </fill>
    <fill>
      <patternFill patternType="solid">
        <fgColor rgb="FFFFF3D0"/>
        <bgColor rgb="FFFFF3D0"/>
      </patternFill>
    </fill>
    <fill>
      <patternFill patternType="solid">
        <fgColor rgb="FFFFEBB5"/>
        <bgColor rgb="FFFFEBB5"/>
      </patternFill>
    </fill>
    <fill>
      <patternFill patternType="solid">
        <fgColor rgb="FFFFF7E2"/>
        <bgColor rgb="FFFFF7E2"/>
      </patternFill>
    </fill>
    <fill>
      <patternFill patternType="solid">
        <fgColor rgb="FFFFE49A"/>
        <bgColor rgb="FFFFE49A"/>
      </patternFill>
    </fill>
    <fill>
      <patternFill patternType="solid">
        <fgColor rgb="FFFFEDBB"/>
        <bgColor rgb="FFFFEDBB"/>
      </patternFill>
    </fill>
    <fill>
      <patternFill patternType="solid">
        <fgColor rgb="FFFFE8A6"/>
        <bgColor rgb="FFFFE8A6"/>
      </patternFill>
    </fill>
    <fill>
      <patternFill patternType="solid">
        <fgColor rgb="FFFFE7A3"/>
        <bgColor rgb="FFFFE7A3"/>
      </patternFill>
    </fill>
    <fill>
      <patternFill patternType="solid">
        <fgColor rgb="FFFFECB8"/>
        <bgColor rgb="FFFFECB8"/>
      </patternFill>
    </fill>
    <fill>
      <patternFill patternType="solid">
        <fgColor rgb="FFFFEFC3"/>
        <bgColor rgb="FFFFEFC3"/>
      </patternFill>
    </fill>
    <fill>
      <patternFill patternType="solid">
        <fgColor rgb="FFFFECB6"/>
        <bgColor rgb="FFFFECB6"/>
      </patternFill>
    </fill>
    <fill>
      <patternFill patternType="solid">
        <fgColor rgb="FFFFEBB2"/>
        <bgColor rgb="FFFFEBB2"/>
      </patternFill>
    </fill>
    <fill>
      <patternFill patternType="solid">
        <fgColor rgb="FFFFECB5"/>
        <bgColor rgb="FFFFECB5"/>
      </patternFill>
    </fill>
    <fill>
      <patternFill patternType="solid">
        <fgColor rgb="FFFFE59E"/>
        <bgColor rgb="FFFFE59E"/>
      </patternFill>
    </fill>
    <fill>
      <patternFill patternType="solid">
        <fgColor rgb="FFFFEDBA"/>
        <bgColor rgb="FFFFEDBA"/>
      </patternFill>
    </fill>
    <fill>
      <patternFill patternType="solid">
        <fgColor rgb="FFFFEFC2"/>
        <bgColor rgb="FFFFEFC2"/>
      </patternFill>
    </fill>
    <fill>
      <patternFill patternType="solid">
        <fgColor rgb="FFFFE7A4"/>
        <bgColor rgb="FFFFE7A4"/>
      </patternFill>
    </fill>
    <fill>
      <patternFill patternType="solid">
        <fgColor rgb="FFFFE6A2"/>
        <bgColor rgb="FFFFE6A2"/>
      </patternFill>
    </fill>
    <fill>
      <patternFill patternType="solid">
        <fgColor rgb="FFFFF8E5"/>
        <bgColor rgb="FFFFF8E5"/>
      </patternFill>
    </fill>
    <fill>
      <patternFill patternType="solid">
        <fgColor rgb="FFFFF0C7"/>
        <bgColor rgb="FFFFF0C7"/>
      </patternFill>
    </fill>
    <fill>
      <patternFill patternType="solid">
        <fgColor rgb="FFFFD86C"/>
        <bgColor rgb="FFFFD86C"/>
      </patternFill>
    </fill>
    <fill>
      <patternFill patternType="solid">
        <fgColor rgb="FFFFE394"/>
        <bgColor rgb="FFFFE394"/>
      </patternFill>
    </fill>
    <fill>
      <patternFill patternType="solid">
        <fgColor rgb="FFFFDB78"/>
        <bgColor rgb="FFFFDB78"/>
      </patternFill>
    </fill>
    <fill>
      <patternFill patternType="solid">
        <fgColor rgb="FFFFE498"/>
        <bgColor rgb="FFFFE498"/>
      </patternFill>
    </fill>
    <fill>
      <patternFill patternType="solid">
        <fgColor rgb="FFFFECB7"/>
        <bgColor rgb="FFFFECB7"/>
      </patternFill>
    </fill>
    <fill>
      <patternFill patternType="solid">
        <fgColor rgb="FFFFEAAF"/>
        <bgColor rgb="FFFFEAAF"/>
      </patternFill>
    </fill>
    <fill>
      <patternFill patternType="solid">
        <fgColor rgb="FFFFE089"/>
        <bgColor rgb="FFFFE089"/>
      </patternFill>
    </fill>
    <fill>
      <patternFill patternType="solid">
        <fgColor rgb="FFFFE6A1"/>
        <bgColor rgb="FFFFE6A1"/>
      </patternFill>
    </fill>
    <fill>
      <patternFill patternType="solid">
        <fgColor rgb="FFFFDB77"/>
        <bgColor rgb="FFFFDB77"/>
      </patternFill>
    </fill>
    <fill>
      <patternFill patternType="solid">
        <fgColor rgb="FFFFE293"/>
        <bgColor rgb="FFFFE293"/>
      </patternFill>
    </fill>
    <fill>
      <patternFill patternType="solid">
        <fgColor rgb="FFFFDB76"/>
        <bgColor rgb="FFFFDB76"/>
      </patternFill>
    </fill>
    <fill>
      <patternFill patternType="solid">
        <fgColor rgb="FFFFE59B"/>
        <bgColor rgb="FFFFE59B"/>
      </patternFill>
    </fill>
    <fill>
      <patternFill patternType="solid">
        <fgColor rgb="FFFFE69F"/>
        <bgColor rgb="FFFFE69F"/>
      </patternFill>
    </fill>
    <fill>
      <patternFill patternType="solid">
        <fgColor rgb="FFFFE18D"/>
        <bgColor rgb="FFFFE18D"/>
      </patternFill>
    </fill>
    <fill>
      <patternFill patternType="solid">
        <fgColor rgb="FFFFD666"/>
        <bgColor rgb="FFFFD666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horizontal="right" readingOrder="0"/>
    </xf>
    <xf borderId="1" fillId="0" fontId="2" numFmtId="164" xfId="0" applyAlignment="1" applyBorder="1" applyFont="1" applyNumberFormat="1">
      <alignment horizontal="center"/>
    </xf>
    <xf borderId="2" fillId="0" fontId="2" numFmtId="164" xfId="0" applyAlignment="1" applyBorder="1" applyFont="1" applyNumberFormat="1">
      <alignment horizontal="center"/>
    </xf>
    <xf borderId="3" fillId="0" fontId="2" numFmtId="164" xfId="0" applyAlignment="1" applyBorder="1" applyFont="1" applyNumberFormat="1">
      <alignment horizontal="center"/>
    </xf>
    <xf borderId="4" fillId="0" fontId="2" numFmtId="164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5" fillId="0" fontId="2" numFmtId="164" xfId="0" applyAlignment="1" applyBorder="1" applyFont="1" applyNumberFormat="1">
      <alignment horizontal="center"/>
    </xf>
    <xf borderId="6" fillId="0" fontId="2" numFmtId="164" xfId="0" applyAlignment="1" applyBorder="1" applyFont="1" applyNumberFormat="1">
      <alignment horizontal="center"/>
    </xf>
    <xf borderId="7" fillId="0" fontId="2" numFmtId="164" xfId="0" applyAlignment="1" applyBorder="1" applyFont="1" applyNumberFormat="1">
      <alignment horizontal="center"/>
    </xf>
    <xf borderId="8" fillId="0" fontId="2" numFmtId="164" xfId="0" applyAlignment="1" applyBorder="1" applyFont="1" applyNumberFormat="1">
      <alignment horizontal="center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0" fillId="0" fontId="3" numFmtId="0" xfId="0" applyAlignment="1" applyFont="1">
      <alignment horizontal="right" readingOrder="0"/>
    </xf>
    <xf borderId="6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1" fillId="0" fontId="2" numFmtId="165" xfId="0" applyAlignment="1" applyBorder="1" applyFont="1" applyNumberFormat="1">
      <alignment horizontal="center" readingOrder="0"/>
    </xf>
    <xf borderId="2" fillId="0" fontId="2" numFmtId="165" xfId="0" applyAlignment="1" applyBorder="1" applyFont="1" applyNumberFormat="1">
      <alignment horizontal="center"/>
    </xf>
    <xf borderId="3" fillId="0" fontId="2" numFmtId="165" xfId="0" applyAlignment="1" applyBorder="1" applyFont="1" applyNumberFormat="1">
      <alignment horizontal="center"/>
    </xf>
    <xf borderId="4" fillId="0" fontId="2" numFmtId="165" xfId="0" applyAlignment="1" applyBorder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5" fillId="0" fontId="2" numFmtId="165" xfId="0" applyAlignment="1" applyBorder="1" applyFont="1" applyNumberFormat="1">
      <alignment horizontal="center"/>
    </xf>
    <xf borderId="0" fillId="0" fontId="4" numFmtId="0" xfId="0" applyAlignment="1" applyFont="1">
      <alignment horizontal="right" vertical="bottom"/>
    </xf>
    <xf borderId="6" fillId="0" fontId="2" numFmtId="165" xfId="0" applyAlignment="1" applyBorder="1" applyFont="1" applyNumberFormat="1">
      <alignment horizontal="center"/>
    </xf>
    <xf borderId="7" fillId="0" fontId="2" numFmtId="165" xfId="0" applyAlignment="1" applyBorder="1" applyFont="1" applyNumberFormat="1">
      <alignment horizontal="center"/>
    </xf>
    <xf borderId="8" fillId="0" fontId="2" numFmtId="165" xfId="0" applyAlignment="1" applyBorder="1" applyFont="1" applyNumberFormat="1">
      <alignment horizontal="center"/>
    </xf>
    <xf borderId="1" fillId="0" fontId="2" numFmtId="165" xfId="0" applyAlignment="1" applyBorder="1" applyFont="1" applyNumberFormat="1">
      <alignment horizontal="center"/>
    </xf>
    <xf borderId="0" fillId="0" fontId="4" numFmtId="0" xfId="0" applyAlignment="1" applyFont="1">
      <alignment vertical="bottom"/>
    </xf>
    <xf borderId="0" fillId="2" fontId="4" numFmtId="0" xfId="0" applyAlignment="1" applyFill="1" applyFont="1">
      <alignment readingOrder="0" vertical="bottom"/>
    </xf>
    <xf borderId="0" fillId="0" fontId="5" numFmtId="0" xfId="0" applyAlignment="1" applyFont="1">
      <alignment horizontal="right" vertical="bottom"/>
    </xf>
    <xf borderId="1" fillId="3" fontId="4" numFmtId="165" xfId="0" applyAlignment="1" applyBorder="1" applyFill="1" applyFont="1" applyNumberFormat="1">
      <alignment horizontal="center" vertical="bottom"/>
    </xf>
    <xf borderId="2" fillId="3" fontId="4" numFmtId="165" xfId="0" applyAlignment="1" applyBorder="1" applyFill="1" applyFont="1" applyNumberFormat="1">
      <alignment horizontal="center" vertical="bottom"/>
    </xf>
    <xf borderId="3" fillId="3" fontId="4" numFmtId="165" xfId="0" applyAlignment="1" applyBorder="1" applyFill="1" applyFont="1" applyNumberFormat="1">
      <alignment horizontal="center" vertical="bottom"/>
    </xf>
    <xf borderId="4" fillId="3" fontId="4" numFmtId="165" xfId="0" applyAlignment="1" applyBorder="1" applyFill="1" applyFont="1" applyNumberFormat="1">
      <alignment horizontal="center" vertical="bottom"/>
    </xf>
    <xf borderId="0" fillId="3" fontId="4" numFmtId="165" xfId="0" applyAlignment="1" applyFill="1" applyFont="1" applyNumberFormat="1">
      <alignment horizontal="center" vertical="bottom"/>
    </xf>
    <xf borderId="5" fillId="3" fontId="4" numFmtId="165" xfId="0" applyAlignment="1" applyBorder="1" applyFill="1" applyFont="1" applyNumberFormat="1">
      <alignment horizontal="center" vertical="bottom"/>
    </xf>
    <xf borderId="0" fillId="0" fontId="4" numFmtId="0" xfId="0" applyAlignment="1" applyFont="1">
      <alignment readingOrder="0" vertical="bottom"/>
    </xf>
    <xf borderId="6" fillId="3" fontId="4" numFmtId="165" xfId="0" applyAlignment="1" applyBorder="1" applyFill="1" applyFont="1" applyNumberFormat="1">
      <alignment horizontal="center" vertical="bottom"/>
    </xf>
    <xf borderId="7" fillId="3" fontId="4" numFmtId="165" xfId="0" applyAlignment="1" applyBorder="1" applyFill="1" applyFont="1" applyNumberFormat="1">
      <alignment horizontal="center" vertical="bottom"/>
    </xf>
    <xf borderId="8" fillId="3" fontId="4" numFmtId="165" xfId="0" applyAlignment="1" applyBorder="1" applyFill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1" fillId="4" fontId="4" numFmtId="164" xfId="0" applyAlignment="1" applyBorder="1" applyFill="1" applyFont="1" applyNumberFormat="1">
      <alignment horizontal="center" vertical="bottom"/>
    </xf>
    <xf borderId="2" fillId="5" fontId="4" numFmtId="164" xfId="0" applyAlignment="1" applyBorder="1" applyFill="1" applyFont="1" applyNumberFormat="1">
      <alignment horizontal="center" vertical="bottom"/>
    </xf>
    <xf borderId="2" fillId="6" fontId="4" numFmtId="164" xfId="0" applyAlignment="1" applyBorder="1" applyFill="1" applyFont="1" applyNumberFormat="1">
      <alignment horizontal="center" vertical="bottom"/>
    </xf>
    <xf borderId="2" fillId="7" fontId="4" numFmtId="164" xfId="0" applyAlignment="1" applyBorder="1" applyFill="1" applyFont="1" applyNumberFormat="1">
      <alignment horizontal="center" vertical="bottom"/>
    </xf>
    <xf borderId="3" fillId="8" fontId="4" numFmtId="164" xfId="0" applyAlignment="1" applyBorder="1" applyFill="1" applyFont="1" applyNumberFormat="1">
      <alignment horizontal="center" vertical="bottom"/>
    </xf>
    <xf borderId="4" fillId="9" fontId="4" numFmtId="164" xfId="0" applyAlignment="1" applyBorder="1" applyFill="1" applyFont="1" applyNumberFormat="1">
      <alignment horizontal="center" vertical="bottom"/>
    </xf>
    <xf borderId="0" fillId="10" fontId="4" numFmtId="164" xfId="0" applyAlignment="1" applyFill="1" applyFont="1" applyNumberFormat="1">
      <alignment horizontal="center" vertical="bottom"/>
    </xf>
    <xf borderId="0" fillId="11" fontId="4" numFmtId="164" xfId="0" applyAlignment="1" applyFill="1" applyFont="1" applyNumberFormat="1">
      <alignment horizontal="center" vertical="bottom"/>
    </xf>
    <xf borderId="0" fillId="12" fontId="4" numFmtId="164" xfId="0" applyAlignment="1" applyFill="1" applyFont="1" applyNumberFormat="1">
      <alignment horizontal="center" vertical="bottom"/>
    </xf>
    <xf borderId="5" fillId="5" fontId="4" numFmtId="164" xfId="0" applyAlignment="1" applyBorder="1" applyFill="1" applyFont="1" applyNumberFormat="1">
      <alignment horizontal="center" vertical="bottom"/>
    </xf>
    <xf borderId="4" fillId="13" fontId="4" numFmtId="164" xfId="0" applyAlignment="1" applyBorder="1" applyFill="1" applyFont="1" applyNumberFormat="1">
      <alignment horizontal="center" vertical="bottom"/>
    </xf>
    <xf borderId="0" fillId="14" fontId="4" numFmtId="164" xfId="0" applyAlignment="1" applyFill="1" applyFont="1" applyNumberFormat="1">
      <alignment horizontal="center" vertical="bottom"/>
    </xf>
    <xf borderId="0" fillId="15" fontId="4" numFmtId="164" xfId="0" applyAlignment="1" applyFill="1" applyFont="1" applyNumberFormat="1">
      <alignment horizontal="center" vertical="bottom"/>
    </xf>
    <xf borderId="0" fillId="16" fontId="4" numFmtId="164" xfId="0" applyAlignment="1" applyFill="1" applyFont="1" applyNumberFormat="1">
      <alignment horizontal="center" vertical="bottom"/>
    </xf>
    <xf borderId="5" fillId="17" fontId="4" numFmtId="164" xfId="0" applyAlignment="1" applyBorder="1" applyFill="1" applyFont="1" applyNumberFormat="1">
      <alignment horizontal="center" vertical="bottom"/>
    </xf>
    <xf borderId="4" fillId="18" fontId="4" numFmtId="164" xfId="0" applyAlignment="1" applyBorder="1" applyFill="1" applyFont="1" applyNumberFormat="1">
      <alignment horizontal="center" vertical="bottom"/>
    </xf>
    <xf borderId="0" fillId="19" fontId="4" numFmtId="164" xfId="0" applyAlignment="1" applyFill="1" applyFont="1" applyNumberFormat="1">
      <alignment horizontal="center" vertical="bottom"/>
    </xf>
    <xf borderId="0" fillId="9" fontId="4" numFmtId="164" xfId="0" applyAlignment="1" applyFill="1" applyFont="1" applyNumberFormat="1">
      <alignment horizontal="center" vertical="bottom"/>
    </xf>
    <xf borderId="0" fillId="20" fontId="4" numFmtId="164" xfId="0" applyAlignment="1" applyFill="1" applyFont="1" applyNumberFormat="1">
      <alignment horizontal="center" vertical="bottom"/>
    </xf>
    <xf borderId="5" fillId="21" fontId="4" numFmtId="164" xfId="0" applyAlignment="1" applyBorder="1" applyFill="1" applyFont="1" applyNumberFormat="1">
      <alignment horizontal="center" vertical="bottom"/>
    </xf>
    <xf borderId="6" fillId="19" fontId="4" numFmtId="164" xfId="0" applyAlignment="1" applyBorder="1" applyFill="1" applyFont="1" applyNumberFormat="1">
      <alignment horizontal="center" vertical="bottom"/>
    </xf>
    <xf borderId="7" fillId="22" fontId="4" numFmtId="164" xfId="0" applyAlignment="1" applyBorder="1" applyFill="1" applyFont="1" applyNumberFormat="1">
      <alignment horizontal="center" vertical="bottom"/>
    </xf>
    <xf borderId="7" fillId="23" fontId="4" numFmtId="164" xfId="0" applyAlignment="1" applyBorder="1" applyFill="1" applyFont="1" applyNumberFormat="1">
      <alignment horizontal="center" vertical="bottom"/>
    </xf>
    <xf borderId="7" fillId="9" fontId="4" numFmtId="164" xfId="0" applyAlignment="1" applyBorder="1" applyFill="1" applyFont="1" applyNumberFormat="1">
      <alignment horizontal="center" vertical="bottom"/>
    </xf>
    <xf borderId="8" fillId="24" fontId="4" numFmtId="164" xfId="0" applyAlignment="1" applyBorder="1" applyFill="1" applyFont="1" applyNumberFormat="1">
      <alignment horizontal="center" vertical="bottom"/>
    </xf>
    <xf borderId="1" fillId="25" fontId="4" numFmtId="165" xfId="0" applyAlignment="1" applyBorder="1" applyFill="1" applyFont="1" applyNumberFormat="1">
      <alignment horizontal="center" vertical="bottom"/>
    </xf>
    <xf borderId="2" fillId="26" fontId="4" numFmtId="165" xfId="0" applyAlignment="1" applyBorder="1" applyFill="1" applyFont="1" applyNumberFormat="1">
      <alignment horizontal="center" vertical="bottom"/>
    </xf>
    <xf borderId="2" fillId="27" fontId="4" numFmtId="165" xfId="0" applyAlignment="1" applyBorder="1" applyFill="1" applyFont="1" applyNumberFormat="1">
      <alignment horizontal="center" vertical="bottom"/>
    </xf>
    <xf borderId="2" fillId="28" fontId="4" numFmtId="165" xfId="0" applyAlignment="1" applyBorder="1" applyFill="1" applyFont="1" applyNumberFormat="1">
      <alignment horizontal="center" vertical="bottom"/>
    </xf>
    <xf borderId="3" fillId="29" fontId="4" numFmtId="165" xfId="0" applyAlignment="1" applyBorder="1" applyFill="1" applyFont="1" applyNumberFormat="1">
      <alignment horizontal="center" vertical="bottom"/>
    </xf>
    <xf borderId="1" fillId="16" fontId="4" numFmtId="164" xfId="0" applyAlignment="1" applyBorder="1" applyFill="1" applyFont="1" applyNumberFormat="1">
      <alignment horizontal="center" vertical="bottom"/>
    </xf>
    <xf borderId="2" fillId="30" fontId="4" numFmtId="164" xfId="0" applyAlignment="1" applyBorder="1" applyFill="1" applyFont="1" applyNumberFormat="1">
      <alignment horizontal="center" vertical="bottom"/>
    </xf>
    <xf borderId="2" fillId="13" fontId="4" numFmtId="164" xfId="0" applyAlignment="1" applyBorder="1" applyFill="1" applyFont="1" applyNumberFormat="1">
      <alignment horizontal="center" vertical="bottom"/>
    </xf>
    <xf borderId="3" fillId="6" fontId="4" numFmtId="164" xfId="0" applyAlignment="1" applyBorder="1" applyFill="1" applyFont="1" applyNumberFormat="1">
      <alignment horizontal="center" vertical="bottom"/>
    </xf>
    <xf borderId="4" fillId="31" fontId="4" numFmtId="165" xfId="0" applyAlignment="1" applyBorder="1" applyFill="1" applyFont="1" applyNumberFormat="1">
      <alignment horizontal="center" vertical="bottom"/>
    </xf>
    <xf borderId="0" fillId="32" fontId="4" numFmtId="165" xfId="0" applyAlignment="1" applyFill="1" applyFont="1" applyNumberFormat="1">
      <alignment horizontal="center" vertical="bottom"/>
    </xf>
    <xf borderId="0" fillId="33" fontId="4" numFmtId="165" xfId="0" applyAlignment="1" applyFill="1" applyFont="1" applyNumberFormat="1">
      <alignment horizontal="center" vertical="bottom"/>
    </xf>
    <xf borderId="0" fillId="8" fontId="4" numFmtId="165" xfId="0" applyAlignment="1" applyFill="1" applyFont="1" applyNumberFormat="1">
      <alignment horizontal="center" vertical="bottom"/>
    </xf>
    <xf borderId="5" fillId="4" fontId="4" numFmtId="165" xfId="0" applyAlignment="1" applyBorder="1" applyFill="1" applyFont="1" applyNumberFormat="1">
      <alignment horizontal="center" vertical="bottom"/>
    </xf>
    <xf borderId="4" fillId="4" fontId="4" numFmtId="164" xfId="0" applyAlignment="1" applyBorder="1" applyFill="1" applyFont="1" applyNumberFormat="1">
      <alignment horizontal="center" vertical="bottom"/>
    </xf>
    <xf borderId="0" fillId="34" fontId="4" numFmtId="164" xfId="0" applyAlignment="1" applyFill="1" applyFont="1" applyNumberFormat="1">
      <alignment horizontal="center" vertical="bottom"/>
    </xf>
    <xf borderId="0" fillId="35" fontId="4" numFmtId="164" xfId="0" applyAlignment="1" applyFill="1" applyFont="1" applyNumberFormat="1">
      <alignment horizontal="center" vertical="bottom"/>
    </xf>
    <xf borderId="0" fillId="36" fontId="4" numFmtId="164" xfId="0" applyAlignment="1" applyFill="1" applyFont="1" applyNumberFormat="1">
      <alignment horizontal="center" vertical="bottom"/>
    </xf>
    <xf borderId="5" fillId="37" fontId="4" numFmtId="164" xfId="0" applyAlignment="1" applyBorder="1" applyFill="1" applyFont="1" applyNumberFormat="1">
      <alignment horizontal="center" vertical="bottom"/>
    </xf>
    <xf borderId="4" fillId="38" fontId="4" numFmtId="165" xfId="0" applyAlignment="1" applyBorder="1" applyFill="1" applyFont="1" applyNumberFormat="1">
      <alignment horizontal="center" vertical="bottom"/>
    </xf>
    <xf borderId="0" fillId="24" fontId="4" numFmtId="165" xfId="0" applyAlignment="1" applyFill="1" applyFont="1" applyNumberFormat="1">
      <alignment horizontal="center" vertical="bottom"/>
    </xf>
    <xf borderId="0" fillId="39" fontId="4" numFmtId="165" xfId="0" applyAlignment="1" applyFill="1" applyFont="1" applyNumberFormat="1">
      <alignment horizontal="center" vertical="bottom"/>
    </xf>
    <xf borderId="0" fillId="40" fontId="4" numFmtId="165" xfId="0" applyAlignment="1" applyFill="1" applyFont="1" applyNumberFormat="1">
      <alignment horizontal="center" vertical="bottom"/>
    </xf>
    <xf borderId="5" fillId="41" fontId="4" numFmtId="165" xfId="0" applyAlignment="1" applyBorder="1" applyFill="1" applyFont="1" applyNumberFormat="1">
      <alignment horizontal="center" vertical="bottom"/>
    </xf>
    <xf borderId="4" fillId="42" fontId="4" numFmtId="164" xfId="0" applyAlignment="1" applyBorder="1" applyFill="1" applyFont="1" applyNumberFormat="1">
      <alignment horizontal="center" vertical="bottom"/>
    </xf>
    <xf borderId="0" fillId="43" fontId="4" numFmtId="164" xfId="0" applyAlignment="1" applyFill="1" applyFont="1" applyNumberFormat="1">
      <alignment horizontal="center" vertical="bottom"/>
    </xf>
    <xf borderId="0" fillId="44" fontId="4" numFmtId="164" xfId="0" applyAlignment="1" applyFill="1" applyFont="1" applyNumberFormat="1">
      <alignment horizontal="center" vertical="bottom"/>
    </xf>
    <xf borderId="0" fillId="45" fontId="4" numFmtId="164" xfId="0" applyAlignment="1" applyFill="1" applyFont="1" applyNumberFormat="1">
      <alignment horizontal="center" vertical="bottom"/>
    </xf>
    <xf borderId="5" fillId="46" fontId="4" numFmtId="164" xfId="0" applyAlignment="1" applyBorder="1" applyFill="1" applyFont="1" applyNumberFormat="1">
      <alignment horizontal="center" vertical="bottom"/>
    </xf>
    <xf borderId="4" fillId="47" fontId="4" numFmtId="165" xfId="0" applyAlignment="1" applyBorder="1" applyFill="1" applyFont="1" applyNumberFormat="1">
      <alignment horizontal="center" vertical="bottom"/>
    </xf>
    <xf borderId="0" fillId="48" fontId="4" numFmtId="165" xfId="0" applyAlignment="1" applyFill="1" applyFont="1" applyNumberFormat="1">
      <alignment horizontal="center" vertical="bottom"/>
    </xf>
    <xf borderId="5" fillId="49" fontId="4" numFmtId="165" xfId="0" applyAlignment="1" applyBorder="1" applyFill="1" applyFont="1" applyNumberFormat="1">
      <alignment horizontal="center" vertical="bottom"/>
    </xf>
    <xf borderId="0" fillId="50" fontId="4" numFmtId="164" xfId="0" applyAlignment="1" applyFill="1" applyFont="1" applyNumberFormat="1">
      <alignment horizontal="center" vertical="bottom"/>
    </xf>
    <xf borderId="0" fillId="51" fontId="4" numFmtId="164" xfId="0" applyAlignment="1" applyFill="1" applyFont="1" applyNumberFormat="1">
      <alignment horizontal="center" vertical="bottom"/>
    </xf>
    <xf borderId="0" fillId="8" fontId="4" numFmtId="164" xfId="0" applyAlignment="1" applyFill="1" applyFont="1" applyNumberFormat="1">
      <alignment horizontal="center" vertical="bottom"/>
    </xf>
    <xf borderId="5" fillId="52" fontId="4" numFmtId="164" xfId="0" applyAlignment="1" applyBorder="1" applyFill="1" applyFont="1" applyNumberFormat="1">
      <alignment horizontal="center" vertical="bottom"/>
    </xf>
    <xf borderId="6" fillId="53" fontId="4" numFmtId="165" xfId="0" applyAlignment="1" applyBorder="1" applyFill="1" applyFont="1" applyNumberFormat="1">
      <alignment horizontal="center" vertical="bottom"/>
    </xf>
    <xf borderId="7" fillId="47" fontId="4" numFmtId="165" xfId="0" applyAlignment="1" applyBorder="1" applyFill="1" applyFont="1" applyNumberFormat="1">
      <alignment horizontal="center" vertical="bottom"/>
    </xf>
    <xf borderId="7" fillId="54" fontId="4" numFmtId="165" xfId="0" applyAlignment="1" applyBorder="1" applyFill="1" applyFont="1" applyNumberFormat="1">
      <alignment horizontal="center" vertical="bottom"/>
    </xf>
    <xf borderId="7" fillId="55" fontId="4" numFmtId="165" xfId="0" applyAlignment="1" applyBorder="1" applyFill="1" applyFont="1" applyNumberFormat="1">
      <alignment horizontal="center" vertical="bottom"/>
    </xf>
    <xf borderId="8" fillId="56" fontId="4" numFmtId="165" xfId="0" applyAlignment="1" applyBorder="1" applyFill="1" applyFont="1" applyNumberFormat="1">
      <alignment horizontal="center" vertical="bottom"/>
    </xf>
    <xf borderId="6" fillId="57" fontId="4" numFmtId="164" xfId="0" applyAlignment="1" applyBorder="1" applyFill="1" applyFont="1" applyNumberFormat="1">
      <alignment horizontal="center" vertical="bottom"/>
    </xf>
    <xf borderId="7" fillId="58" fontId="4" numFmtId="164" xfId="0" applyAlignment="1" applyBorder="1" applyFill="1" applyFont="1" applyNumberFormat="1">
      <alignment horizontal="center" vertical="bottom"/>
    </xf>
    <xf borderId="7" fillId="19" fontId="4" numFmtId="164" xfId="0" applyAlignment="1" applyBorder="1" applyFill="1" applyFont="1" applyNumberFormat="1">
      <alignment horizontal="center" vertical="bottom"/>
    </xf>
    <xf borderId="7" fillId="26" fontId="4" numFmtId="164" xfId="0" applyAlignment="1" applyBorder="1" applyFill="1" applyFont="1" applyNumberFormat="1">
      <alignment horizontal="center" vertical="bottom"/>
    </xf>
    <xf borderId="8" fillId="51" fontId="4" numFmtId="164" xfId="0" applyAlignment="1" applyBorder="1" applyFill="1" applyFont="1" applyNumberFormat="1">
      <alignment horizontal="center" vertical="bottom"/>
    </xf>
    <xf borderId="0" fillId="0" fontId="5" numFmtId="0" xfId="0" applyAlignment="1" applyFont="1">
      <alignment horizontal="right" readingOrder="0" vertical="bottom"/>
    </xf>
    <xf borderId="1" fillId="0" fontId="4" numFmtId="164" xfId="0" applyAlignment="1" applyBorder="1" applyFont="1" applyNumberFormat="1">
      <alignment horizontal="center" vertical="bottom"/>
    </xf>
    <xf borderId="2" fillId="0" fontId="4" numFmtId="164" xfId="0" applyAlignment="1" applyBorder="1" applyFont="1" applyNumberFormat="1">
      <alignment horizontal="center" vertical="bottom"/>
    </xf>
    <xf borderId="3" fillId="0" fontId="4" numFmtId="164" xfId="0" applyAlignment="1" applyBorder="1" applyFont="1" applyNumberFormat="1">
      <alignment horizontal="center" vertical="bottom"/>
    </xf>
    <xf borderId="4" fillId="0" fontId="4" numFmtId="164" xfId="0" applyAlignment="1" applyBorder="1" applyFont="1" applyNumberFormat="1">
      <alignment horizontal="center" vertical="bottom"/>
    </xf>
    <xf borderId="0" fillId="0" fontId="4" numFmtId="164" xfId="0" applyAlignment="1" applyFont="1" applyNumberFormat="1">
      <alignment horizontal="center" vertical="bottom"/>
    </xf>
    <xf borderId="5" fillId="0" fontId="4" numFmtId="164" xfId="0" applyAlignment="1" applyBorder="1" applyFont="1" applyNumberFormat="1">
      <alignment horizontal="center" vertical="bottom"/>
    </xf>
    <xf borderId="6" fillId="0" fontId="4" numFmtId="164" xfId="0" applyAlignment="1" applyBorder="1" applyFont="1" applyNumberFormat="1">
      <alignment horizontal="center" vertical="bottom"/>
    </xf>
    <xf borderId="7" fillId="0" fontId="4" numFmtId="164" xfId="0" applyAlignment="1" applyBorder="1" applyFont="1" applyNumberFormat="1">
      <alignment horizontal="center" vertical="bottom"/>
    </xf>
    <xf borderId="8" fillId="0" fontId="4" numFmtId="164" xfId="0" applyAlignment="1" applyBorder="1" applyFont="1" applyNumberFormat="1">
      <alignment horizontal="center" vertical="bottom"/>
    </xf>
    <xf borderId="1" fillId="59" fontId="4" numFmtId="164" xfId="0" applyAlignment="1" applyBorder="1" applyFill="1" applyFont="1" applyNumberFormat="1">
      <alignment horizontal="center" vertical="bottom"/>
    </xf>
    <xf borderId="2" fillId="34" fontId="4" numFmtId="164" xfId="0" applyAlignment="1" applyBorder="1" applyFill="1" applyFont="1" applyNumberFormat="1">
      <alignment horizontal="center" vertical="bottom"/>
    </xf>
    <xf borderId="2" fillId="55" fontId="4" numFmtId="164" xfId="0" applyAlignment="1" applyBorder="1" applyFill="1" applyFont="1" applyNumberFormat="1">
      <alignment horizontal="center" vertical="bottom"/>
    </xf>
    <xf borderId="2" fillId="60" fontId="4" numFmtId="164" xfId="0" applyAlignment="1" applyBorder="1" applyFill="1" applyFont="1" applyNumberFormat="1">
      <alignment horizontal="center" vertical="bottom"/>
    </xf>
    <xf borderId="3" fillId="61" fontId="4" numFmtId="164" xfId="0" applyAlignment="1" applyBorder="1" applyFill="1" applyFont="1" applyNumberFormat="1">
      <alignment horizontal="center" vertical="bottom"/>
    </xf>
    <xf borderId="4" fillId="62" fontId="4" numFmtId="164" xfId="0" applyAlignment="1" applyBorder="1" applyFill="1" applyFont="1" applyNumberFormat="1">
      <alignment horizontal="center" vertical="bottom"/>
    </xf>
    <xf borderId="0" fillId="63" fontId="4" numFmtId="164" xfId="0" applyAlignment="1" applyFill="1" applyFont="1" applyNumberFormat="1">
      <alignment horizontal="center" vertical="bottom"/>
    </xf>
    <xf borderId="0" fillId="53" fontId="4" numFmtId="164" xfId="0" applyAlignment="1" applyFill="1" applyFont="1" applyNumberFormat="1">
      <alignment horizontal="center" vertical="bottom"/>
    </xf>
    <xf borderId="0" fillId="64" fontId="4" numFmtId="164" xfId="0" applyAlignment="1" applyFill="1" applyFont="1" applyNumberFormat="1">
      <alignment horizontal="center" vertical="bottom"/>
    </xf>
    <xf borderId="5" fillId="65" fontId="4" numFmtId="164" xfId="0" applyAlignment="1" applyBorder="1" applyFill="1" applyFont="1" applyNumberFormat="1">
      <alignment horizontal="center" vertical="bottom"/>
    </xf>
    <xf borderId="4" fillId="66" fontId="4" numFmtId="164" xfId="0" applyAlignment="1" applyBorder="1" applyFill="1" applyFont="1" applyNumberFormat="1">
      <alignment horizontal="center" vertical="bottom"/>
    </xf>
    <xf borderId="0" fillId="48" fontId="4" numFmtId="164" xfId="0" applyAlignment="1" applyFill="1" applyFont="1" applyNumberFormat="1">
      <alignment horizontal="center" vertical="bottom"/>
    </xf>
    <xf borderId="0" fillId="18" fontId="4" numFmtId="164" xfId="0" applyAlignment="1" applyFill="1" applyFont="1" applyNumberFormat="1">
      <alignment horizontal="center" vertical="bottom"/>
    </xf>
    <xf borderId="5" fillId="36" fontId="4" numFmtId="164" xfId="0" applyAlignment="1" applyBorder="1" applyFill="1" applyFont="1" applyNumberFormat="1">
      <alignment horizontal="center" vertical="bottom"/>
    </xf>
    <xf borderId="4" fillId="67" fontId="4" numFmtId="164" xfId="0" applyAlignment="1" applyBorder="1" applyFill="1" applyFont="1" applyNumberFormat="1">
      <alignment horizontal="center" vertical="bottom"/>
    </xf>
    <xf borderId="0" fillId="46" fontId="4" numFmtId="164" xfId="0" applyAlignment="1" applyFill="1" applyFont="1" applyNumberFormat="1">
      <alignment horizontal="center" vertical="bottom"/>
    </xf>
    <xf borderId="0" fillId="68" fontId="4" numFmtId="164" xfId="0" applyAlignment="1" applyFill="1" applyFont="1" applyNumberFormat="1">
      <alignment horizontal="center" vertical="bottom"/>
    </xf>
    <xf borderId="5" fillId="60" fontId="4" numFmtId="164" xfId="0" applyAlignment="1" applyBorder="1" applyFill="1" applyFont="1" applyNumberFormat="1">
      <alignment horizontal="center" vertical="bottom"/>
    </xf>
    <xf borderId="6" fillId="69" fontId="4" numFmtId="164" xfId="0" applyAlignment="1" applyBorder="1" applyFill="1" applyFont="1" applyNumberFormat="1">
      <alignment horizontal="center" vertical="bottom"/>
    </xf>
    <xf borderId="7" fillId="70" fontId="4" numFmtId="164" xfId="0" applyAlignment="1" applyBorder="1" applyFill="1" applyFont="1" applyNumberFormat="1">
      <alignment horizontal="center" vertical="bottom"/>
    </xf>
    <xf borderId="7" fillId="71" fontId="4" numFmtId="164" xfId="0" applyAlignment="1" applyBorder="1" applyFill="1" applyFont="1" applyNumberFormat="1">
      <alignment horizontal="center" vertical="bottom"/>
    </xf>
    <xf borderId="7" fillId="72" fontId="4" numFmtId="164" xfId="0" applyAlignment="1" applyBorder="1" applyFill="1" applyFont="1" applyNumberFormat="1">
      <alignment horizontal="center" vertical="bottom"/>
    </xf>
    <xf borderId="8" fillId="73" fontId="4" numFmtId="164" xfId="0" applyAlignment="1" applyBorder="1" applyFill="1" applyFont="1" applyNumberFormat="1">
      <alignment horizontal="center" vertical="bottom"/>
    </xf>
    <xf borderId="9" fillId="0" fontId="2" numFmtId="0" xfId="0" applyAlignment="1" applyBorder="1" applyFont="1">
      <alignment horizontal="center" readingOrder="0"/>
    </xf>
    <xf borderId="2" fillId="0" fontId="2" numFmtId="164" xfId="0" applyAlignment="1" applyBorder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7" fillId="0" fontId="2" numFmtId="16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352425</xdr:colOff>
      <xdr:row>34</xdr:row>
      <xdr:rowOff>180975</xdr:rowOff>
    </xdr:from>
    <xdr:ext cx="1495425" cy="2695575"/>
    <xdr:grpSp>
      <xdr:nvGrpSpPr>
        <xdr:cNvPr id="2" name="Shape 2" title="Drawing"/>
        <xdr:cNvGrpSpPr/>
      </xdr:nvGrpSpPr>
      <xdr:grpSpPr>
        <a:xfrm>
          <a:off x="1909973" y="989160"/>
          <a:ext cx="1301321" cy="2695890"/>
          <a:chOff x="1909973" y="989160"/>
          <a:chExt cx="1301321" cy="2695890"/>
        </a:xfrm>
      </xdr:grpSpPr>
      <xdr:sp>
        <xdr:nvSpPr>
          <xdr:cNvPr id="3" name="Shape 3"/>
          <xdr:cNvSpPr/>
        </xdr:nvSpPr>
        <xdr:spPr>
          <a:xfrm>
            <a:off x="1968025" y="989160"/>
            <a:ext cx="952525" cy="2505100"/>
          </a:xfrm>
          <a:custGeom>
            <a:rect b="b" l="l" r="r" t="t"/>
            <a:pathLst>
              <a:path extrusionOk="0" h="100204" w="38101">
                <a:moveTo>
                  <a:pt x="804" y="196"/>
                </a:moveTo>
                <a:cubicBezTo>
                  <a:pt x="13914" y="-1113"/>
                  <a:pt x="32126" y="6004"/>
                  <a:pt x="35746" y="18672"/>
                </a:cubicBezTo>
                <a:cubicBezTo>
                  <a:pt x="43900" y="47205"/>
                  <a:pt x="29675" y="100205"/>
                  <a:pt x="0" y="100205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4" name="Shape 4"/>
          <xdr:cNvSpPr/>
        </xdr:nvSpPr>
        <xdr:spPr>
          <a:xfrm>
            <a:off x="1909973" y="3092625"/>
            <a:ext cx="309075" cy="592425"/>
          </a:xfrm>
          <a:custGeom>
            <a:rect b="b" l="l" r="r" t="t"/>
            <a:pathLst>
              <a:path extrusionOk="0" h="23697" w="12363">
                <a:moveTo>
                  <a:pt x="4732" y="0"/>
                </a:moveTo>
                <a:cubicBezTo>
                  <a:pt x="3503" y="6154"/>
                  <a:pt x="-2366" y="13255"/>
                  <a:pt x="1117" y="18475"/>
                </a:cubicBezTo>
                <a:cubicBezTo>
                  <a:pt x="3411" y="21913"/>
                  <a:pt x="8667" y="21847"/>
                  <a:pt x="12363" y="23697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5" name="Shape 5"/>
          <xdr:cNvSpPr/>
        </xdr:nvSpPr>
        <xdr:spPr>
          <a:xfrm>
            <a:off x="2711075" y="2068450"/>
            <a:ext cx="451850" cy="50200"/>
          </a:xfrm>
          <a:custGeom>
            <a:rect b="b" l="l" r="r" t="t"/>
            <a:pathLst>
              <a:path extrusionOk="0" h="2008" w="18074">
                <a:moveTo>
                  <a:pt x="18074" y="0"/>
                </a:moveTo>
                <a:cubicBezTo>
                  <a:pt x="12012" y="0"/>
                  <a:pt x="6062" y="2008"/>
                  <a:pt x="0" y="2008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6" name="Shape 6"/>
          <xdr:cNvSpPr/>
        </xdr:nvSpPr>
        <xdr:spPr>
          <a:xfrm>
            <a:off x="2891800" y="1887700"/>
            <a:ext cx="70300" cy="401650"/>
          </a:xfrm>
          <a:custGeom>
            <a:rect b="b" l="l" r="r" t="t"/>
            <a:pathLst>
              <a:path extrusionOk="0" h="16066" w="2812">
                <a:moveTo>
                  <a:pt x="0" y="0"/>
                </a:moveTo>
                <a:cubicBezTo>
                  <a:pt x="0" y="5437"/>
                  <a:pt x="378" y="11204"/>
                  <a:pt x="2812" y="16066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7" name="Shape 7"/>
          <xdr:cNvSpPr/>
        </xdr:nvSpPr>
        <xdr:spPr>
          <a:xfrm>
            <a:off x="2603269" y="1814687"/>
            <a:ext cx="608025" cy="659350"/>
          </a:xfrm>
          <a:custGeom>
            <a:rect b="b" l="l" r="r" t="t"/>
            <a:pathLst>
              <a:path extrusionOk="0" h="26374" w="24321">
                <a:moveTo>
                  <a:pt x="295" y="10552"/>
                </a:moveTo>
                <a:cubicBezTo>
                  <a:pt x="1958" y="6398"/>
                  <a:pt x="4342" y="-766"/>
                  <a:pt x="8730" y="110"/>
                </a:cubicBezTo>
                <a:cubicBezTo>
                  <a:pt x="16871" y="1736"/>
                  <a:pt x="26008" y="11737"/>
                  <a:pt x="23992" y="19790"/>
                </a:cubicBezTo>
                <a:cubicBezTo>
                  <a:pt x="23342" y="22387"/>
                  <a:pt x="21823" y="25838"/>
                  <a:pt x="19172" y="26216"/>
                </a:cubicBezTo>
                <a:cubicBezTo>
                  <a:pt x="14717" y="26852"/>
                  <a:pt x="11125" y="22090"/>
                  <a:pt x="7525" y="19389"/>
                </a:cubicBezTo>
                <a:cubicBezTo>
                  <a:pt x="4563" y="17166"/>
                  <a:pt x="-1359" y="14267"/>
                  <a:pt x="295" y="10954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13</xdr:col>
      <xdr:colOff>361950</xdr:colOff>
      <xdr:row>88</xdr:row>
      <xdr:rowOff>28575</xdr:rowOff>
    </xdr:from>
    <xdr:ext cx="1476375" cy="2171700"/>
    <xdr:grpSp>
      <xdr:nvGrpSpPr>
        <xdr:cNvPr id="2" name="Shape 2" title="Drawing"/>
        <xdr:cNvGrpSpPr/>
      </xdr:nvGrpSpPr>
      <xdr:grpSpPr>
        <a:xfrm>
          <a:off x="1315375" y="1204925"/>
          <a:ext cx="1455950" cy="2596925"/>
          <a:chOff x="1315375" y="1204925"/>
          <a:chExt cx="1455950" cy="2596925"/>
        </a:xfrm>
      </xdr:grpSpPr>
      <xdr:sp>
        <xdr:nvSpPr>
          <xdr:cNvPr id="8" name="Shape 8"/>
          <xdr:cNvSpPr/>
        </xdr:nvSpPr>
        <xdr:spPr>
          <a:xfrm>
            <a:off x="1315375" y="1204925"/>
            <a:ext cx="1174425" cy="2580525"/>
          </a:xfrm>
          <a:custGeom>
            <a:rect b="b" l="l" r="r" t="t"/>
            <a:pathLst>
              <a:path extrusionOk="0" h="103221" w="46977">
                <a:moveTo>
                  <a:pt x="0" y="0"/>
                </a:moveTo>
                <a:cubicBezTo>
                  <a:pt x="12698" y="0"/>
                  <a:pt x="27811" y="5297"/>
                  <a:pt x="34541" y="16065"/>
                </a:cubicBezTo>
                <a:cubicBezTo>
                  <a:pt x="50084" y="40936"/>
                  <a:pt x="46590" y="73893"/>
                  <a:pt x="46590" y="103221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9" name="Shape 9"/>
          <xdr:cNvSpPr/>
        </xdr:nvSpPr>
        <xdr:spPr>
          <a:xfrm>
            <a:off x="2168850" y="3474175"/>
            <a:ext cx="602475" cy="327675"/>
          </a:xfrm>
          <a:custGeom>
            <a:rect b="b" l="l" r="r" t="t"/>
            <a:pathLst>
              <a:path extrusionOk="0" h="13107" w="24099">
                <a:moveTo>
                  <a:pt x="0" y="0"/>
                </a:moveTo>
                <a:cubicBezTo>
                  <a:pt x="3467" y="4162"/>
                  <a:pt x="5935" y="9447"/>
                  <a:pt x="10443" y="12451"/>
                </a:cubicBezTo>
                <a:cubicBezTo>
                  <a:pt x="15280" y="15674"/>
                  <a:pt x="19986" y="5715"/>
                  <a:pt x="24099" y="1607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13</xdr:col>
      <xdr:colOff>361950</xdr:colOff>
      <xdr:row>110</xdr:row>
      <xdr:rowOff>114300</xdr:rowOff>
    </xdr:from>
    <xdr:ext cx="1552575" cy="4029075"/>
    <xdr:grpSp>
      <xdr:nvGrpSpPr>
        <xdr:cNvPr id="2" name="Shape 2" title="Drawing"/>
        <xdr:cNvGrpSpPr/>
      </xdr:nvGrpSpPr>
      <xdr:grpSpPr>
        <a:xfrm>
          <a:off x="1154725" y="1204925"/>
          <a:ext cx="1364475" cy="2972125"/>
          <a:chOff x="1154725" y="1204925"/>
          <a:chExt cx="1364475" cy="2972125"/>
        </a:xfrm>
      </xdr:grpSpPr>
      <xdr:sp>
        <xdr:nvSpPr>
          <xdr:cNvPr id="10" name="Shape 10"/>
          <xdr:cNvSpPr/>
        </xdr:nvSpPr>
        <xdr:spPr>
          <a:xfrm>
            <a:off x="1154725" y="1204925"/>
            <a:ext cx="1208450" cy="2871725"/>
          </a:xfrm>
          <a:custGeom>
            <a:rect b="b" l="l" r="r" t="t"/>
            <a:pathLst>
              <a:path extrusionOk="0" h="114869" w="48338">
                <a:moveTo>
                  <a:pt x="0" y="0"/>
                </a:moveTo>
                <a:cubicBezTo>
                  <a:pt x="17668" y="7065"/>
                  <a:pt x="31611" y="23374"/>
                  <a:pt x="40565" y="40164"/>
                </a:cubicBezTo>
                <a:cubicBezTo>
                  <a:pt x="44590" y="47711"/>
                  <a:pt x="48764" y="56129"/>
                  <a:pt x="48196" y="64664"/>
                </a:cubicBezTo>
                <a:cubicBezTo>
                  <a:pt x="46680" y="87444"/>
                  <a:pt x="22021" y="104649"/>
                  <a:pt x="1606" y="114869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1" name="Shape 11"/>
          <xdr:cNvSpPr/>
        </xdr:nvSpPr>
        <xdr:spPr>
          <a:xfrm>
            <a:off x="1163613" y="3926025"/>
            <a:ext cx="432900" cy="251025"/>
          </a:xfrm>
          <a:custGeom>
            <a:rect b="b" l="l" r="r" t="t"/>
            <a:pathLst>
              <a:path extrusionOk="0" h="10041" w="17316">
                <a:moveTo>
                  <a:pt x="2053" y="0"/>
                </a:moveTo>
                <a:cubicBezTo>
                  <a:pt x="1328" y="2905"/>
                  <a:pt x="-893" y="6159"/>
                  <a:pt x="447" y="8836"/>
                </a:cubicBezTo>
                <a:cubicBezTo>
                  <a:pt x="1228" y="10397"/>
                  <a:pt x="3940" y="8991"/>
                  <a:pt x="5668" y="9238"/>
                </a:cubicBezTo>
                <a:cubicBezTo>
                  <a:pt x="9521" y="9789"/>
                  <a:pt x="13424" y="10041"/>
                  <a:pt x="17316" y="10041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2" name="Shape 12"/>
          <xdr:cNvSpPr/>
        </xdr:nvSpPr>
        <xdr:spPr>
          <a:xfrm>
            <a:off x="2108600" y="2729016"/>
            <a:ext cx="391600" cy="52325"/>
          </a:xfrm>
          <a:custGeom>
            <a:rect b="b" l="l" r="r" t="t"/>
            <a:pathLst>
              <a:path extrusionOk="0" h="2093" w="15664">
                <a:moveTo>
                  <a:pt x="15664" y="85"/>
                </a:moveTo>
                <a:cubicBezTo>
                  <a:pt x="10400" y="85"/>
                  <a:pt x="4711" y="-256"/>
                  <a:pt x="0" y="2093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3" name="Shape 13"/>
          <xdr:cNvSpPr/>
        </xdr:nvSpPr>
        <xdr:spPr>
          <a:xfrm>
            <a:off x="2289350" y="2439950"/>
            <a:ext cx="80325" cy="532175"/>
          </a:xfrm>
          <a:custGeom>
            <a:rect b="b" l="l" r="r" t="t"/>
            <a:pathLst>
              <a:path extrusionOk="0" h="21287" w="3213">
                <a:moveTo>
                  <a:pt x="0" y="0"/>
                </a:moveTo>
                <a:cubicBezTo>
                  <a:pt x="891" y="7121"/>
                  <a:pt x="3213" y="14111"/>
                  <a:pt x="3213" y="21287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4" name="Shape 14"/>
          <xdr:cNvSpPr/>
        </xdr:nvSpPr>
        <xdr:spPr>
          <a:xfrm>
            <a:off x="2098575" y="2436966"/>
            <a:ext cx="420625" cy="519950"/>
          </a:xfrm>
          <a:custGeom>
            <a:rect b="b" l="l" r="r" t="t"/>
            <a:pathLst>
              <a:path extrusionOk="0" h="20798" w="16825">
                <a:moveTo>
                  <a:pt x="401" y="13374"/>
                </a:moveTo>
                <a:cubicBezTo>
                  <a:pt x="1207" y="9347"/>
                  <a:pt x="1514" y="4630"/>
                  <a:pt x="4418" y="1726"/>
                </a:cubicBezTo>
                <a:cubicBezTo>
                  <a:pt x="6981" y="-837"/>
                  <a:pt x="13088" y="-371"/>
                  <a:pt x="15262" y="2529"/>
                </a:cubicBezTo>
                <a:cubicBezTo>
                  <a:pt x="19098" y="7645"/>
                  <a:pt x="15106" y="19348"/>
                  <a:pt x="8836" y="20603"/>
                </a:cubicBezTo>
                <a:cubicBezTo>
                  <a:pt x="4933" y="21384"/>
                  <a:pt x="1777" y="16132"/>
                  <a:pt x="0" y="1257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13</xdr:col>
      <xdr:colOff>352425</xdr:colOff>
      <xdr:row>55</xdr:row>
      <xdr:rowOff>47625</xdr:rowOff>
    </xdr:from>
    <xdr:ext cx="1724025" cy="5114925"/>
    <xdr:grpSp>
      <xdr:nvGrpSpPr>
        <xdr:cNvPr id="2" name="Shape 2" title="Drawing"/>
        <xdr:cNvGrpSpPr/>
      </xdr:nvGrpSpPr>
      <xdr:grpSpPr>
        <a:xfrm>
          <a:off x="763270" y="863525"/>
          <a:ext cx="1707755" cy="4679100"/>
          <a:chOff x="763270" y="863525"/>
          <a:chExt cx="1707755" cy="4679100"/>
        </a:xfrm>
      </xdr:grpSpPr>
      <xdr:sp>
        <xdr:nvSpPr>
          <xdr:cNvPr id="15" name="Shape 15"/>
          <xdr:cNvSpPr/>
        </xdr:nvSpPr>
        <xdr:spPr>
          <a:xfrm>
            <a:off x="833400" y="863525"/>
            <a:ext cx="1322425" cy="4488325"/>
          </a:xfrm>
          <a:custGeom>
            <a:rect b="b" l="l" r="r" t="t"/>
            <a:pathLst>
              <a:path extrusionOk="0" h="179533" w="52897">
                <a:moveTo>
                  <a:pt x="1607" y="0"/>
                </a:moveTo>
                <a:cubicBezTo>
                  <a:pt x="9610" y="7204"/>
                  <a:pt x="20449" y="11468"/>
                  <a:pt x="26910" y="20082"/>
                </a:cubicBezTo>
                <a:cubicBezTo>
                  <a:pt x="37873" y="34698"/>
                  <a:pt x="46221" y="51969"/>
                  <a:pt x="49803" y="69885"/>
                </a:cubicBezTo>
                <a:cubicBezTo>
                  <a:pt x="51180" y="76774"/>
                  <a:pt x="53608" y="83817"/>
                  <a:pt x="52615" y="90771"/>
                </a:cubicBezTo>
                <a:cubicBezTo>
                  <a:pt x="49609" y="111821"/>
                  <a:pt x="38065" y="131305"/>
                  <a:pt x="25705" y="148607"/>
                </a:cubicBezTo>
                <a:cubicBezTo>
                  <a:pt x="17913" y="159515"/>
                  <a:pt x="13405" y="179533"/>
                  <a:pt x="0" y="179533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6" name="Shape 16"/>
          <xdr:cNvSpPr/>
        </xdr:nvSpPr>
        <xdr:spPr>
          <a:xfrm>
            <a:off x="763270" y="5020500"/>
            <a:ext cx="220750" cy="301225"/>
          </a:xfrm>
          <a:custGeom>
            <a:rect b="b" l="l" r="r" t="t"/>
            <a:pathLst>
              <a:path extrusionOk="0" h="12049" w="8830">
                <a:moveTo>
                  <a:pt x="8830" y="0"/>
                </a:moveTo>
                <a:cubicBezTo>
                  <a:pt x="5767" y="3828"/>
                  <a:pt x="-1795" y="7663"/>
                  <a:pt x="395" y="12049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7" name="Shape 17"/>
          <xdr:cNvSpPr/>
        </xdr:nvSpPr>
        <xdr:spPr>
          <a:xfrm>
            <a:off x="783200" y="5331775"/>
            <a:ext cx="351425" cy="210850"/>
          </a:xfrm>
          <a:custGeom>
            <a:rect b="b" l="l" r="r" t="t"/>
            <a:pathLst>
              <a:path extrusionOk="0" h="8434" w="14057">
                <a:moveTo>
                  <a:pt x="0" y="0"/>
                </a:moveTo>
                <a:cubicBezTo>
                  <a:pt x="4887" y="2444"/>
                  <a:pt x="9168" y="5993"/>
                  <a:pt x="14057" y="8434"/>
                </a:cubicBezTo>
              </a:path>
            </a:pathLst>
          </a:custGeom>
          <a:noFill/>
          <a:ln cap="flat" cmpd="sng" w="762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8" name="Shape 18"/>
          <xdr:cNvSpPr/>
        </xdr:nvSpPr>
        <xdr:spPr>
          <a:xfrm>
            <a:off x="1777250" y="2931975"/>
            <a:ext cx="632600" cy="120500"/>
          </a:xfrm>
          <a:custGeom>
            <a:rect b="b" l="l" r="r" t="t"/>
            <a:pathLst>
              <a:path extrusionOk="0" h="4820" w="25304">
                <a:moveTo>
                  <a:pt x="25304" y="0"/>
                </a:moveTo>
                <a:cubicBezTo>
                  <a:pt x="17623" y="3838"/>
                  <a:pt x="8586" y="4820"/>
                  <a:pt x="0" y="4820"/>
                </a:cubicBezTo>
              </a:path>
            </a:pathLst>
          </a:custGeom>
          <a:noFill/>
          <a:ln cap="flat" cmpd="sng" w="762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9" name="Shape 19"/>
          <xdr:cNvSpPr/>
        </xdr:nvSpPr>
        <xdr:spPr>
          <a:xfrm>
            <a:off x="1988125" y="2690975"/>
            <a:ext cx="251025" cy="682800"/>
          </a:xfrm>
          <a:custGeom>
            <a:rect b="b" l="l" r="r" t="t"/>
            <a:pathLst>
              <a:path extrusionOk="0" h="27312" w="10041">
                <a:moveTo>
                  <a:pt x="0" y="0"/>
                </a:moveTo>
                <a:cubicBezTo>
                  <a:pt x="3954" y="0"/>
                  <a:pt x="4537" y="6642"/>
                  <a:pt x="5623" y="10443"/>
                </a:cubicBezTo>
                <a:cubicBezTo>
                  <a:pt x="7220" y="16032"/>
                  <a:pt x="10041" y="21499"/>
                  <a:pt x="10041" y="27312"/>
                </a:cubicBezTo>
              </a:path>
            </a:pathLst>
          </a:custGeom>
          <a:noFill/>
          <a:ln cap="flat" cmpd="sng" w="762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20" name="Shape 20"/>
          <xdr:cNvSpPr/>
        </xdr:nvSpPr>
        <xdr:spPr>
          <a:xfrm>
            <a:off x="1807375" y="2527688"/>
            <a:ext cx="663650" cy="938700"/>
          </a:xfrm>
          <a:custGeom>
            <a:rect b="b" l="l" r="r" t="t"/>
            <a:pathLst>
              <a:path extrusionOk="0" h="37548" w="26546">
                <a:moveTo>
                  <a:pt x="2008" y="22597"/>
                </a:moveTo>
                <a:cubicBezTo>
                  <a:pt x="2008" y="14279"/>
                  <a:pt x="8743" y="6326"/>
                  <a:pt x="15664" y="1712"/>
                </a:cubicBezTo>
                <a:cubicBezTo>
                  <a:pt x="17150" y="721"/>
                  <a:pt x="19622" y="-756"/>
                  <a:pt x="20885" y="507"/>
                </a:cubicBezTo>
                <a:cubicBezTo>
                  <a:pt x="28459" y="8081"/>
                  <a:pt x="28257" y="24505"/>
                  <a:pt x="21287" y="32638"/>
                </a:cubicBezTo>
                <a:cubicBezTo>
                  <a:pt x="19869" y="34293"/>
                  <a:pt x="19019" y="37817"/>
                  <a:pt x="16869" y="37458"/>
                </a:cubicBezTo>
                <a:cubicBezTo>
                  <a:pt x="8346" y="36036"/>
                  <a:pt x="7726" y="21645"/>
                  <a:pt x="0" y="17777"/>
                </a:cubicBezTo>
              </a:path>
            </a:pathLst>
          </a:custGeom>
          <a:noFill/>
          <a:ln cap="flat" cmpd="sng" w="762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352425</xdr:colOff>
      <xdr:row>34</xdr:row>
      <xdr:rowOff>180975</xdr:rowOff>
    </xdr:from>
    <xdr:ext cx="1495425" cy="2695575"/>
    <xdr:grpSp>
      <xdr:nvGrpSpPr>
        <xdr:cNvPr id="2" name="Shape 2" title="Drawing"/>
        <xdr:cNvGrpSpPr/>
      </xdr:nvGrpSpPr>
      <xdr:grpSpPr>
        <a:xfrm>
          <a:off x="1909973" y="989160"/>
          <a:ext cx="1301321" cy="2695890"/>
          <a:chOff x="1909973" y="989160"/>
          <a:chExt cx="1301321" cy="2695890"/>
        </a:xfrm>
      </xdr:grpSpPr>
      <xdr:sp>
        <xdr:nvSpPr>
          <xdr:cNvPr id="3" name="Shape 3"/>
          <xdr:cNvSpPr/>
        </xdr:nvSpPr>
        <xdr:spPr>
          <a:xfrm>
            <a:off x="1968025" y="989160"/>
            <a:ext cx="952525" cy="2505100"/>
          </a:xfrm>
          <a:custGeom>
            <a:rect b="b" l="l" r="r" t="t"/>
            <a:pathLst>
              <a:path extrusionOk="0" h="100204" w="38101">
                <a:moveTo>
                  <a:pt x="804" y="196"/>
                </a:moveTo>
                <a:cubicBezTo>
                  <a:pt x="13914" y="-1113"/>
                  <a:pt x="32126" y="6004"/>
                  <a:pt x="35746" y="18672"/>
                </a:cubicBezTo>
                <a:cubicBezTo>
                  <a:pt x="43900" y="47205"/>
                  <a:pt x="29675" y="100205"/>
                  <a:pt x="0" y="100205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4" name="Shape 4"/>
          <xdr:cNvSpPr/>
        </xdr:nvSpPr>
        <xdr:spPr>
          <a:xfrm>
            <a:off x="1909973" y="3092625"/>
            <a:ext cx="309075" cy="592425"/>
          </a:xfrm>
          <a:custGeom>
            <a:rect b="b" l="l" r="r" t="t"/>
            <a:pathLst>
              <a:path extrusionOk="0" h="23697" w="12363">
                <a:moveTo>
                  <a:pt x="4732" y="0"/>
                </a:moveTo>
                <a:cubicBezTo>
                  <a:pt x="3503" y="6154"/>
                  <a:pt x="-2366" y="13255"/>
                  <a:pt x="1117" y="18475"/>
                </a:cubicBezTo>
                <a:cubicBezTo>
                  <a:pt x="3411" y="21913"/>
                  <a:pt x="8667" y="21847"/>
                  <a:pt x="12363" y="23697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5" name="Shape 5"/>
          <xdr:cNvSpPr/>
        </xdr:nvSpPr>
        <xdr:spPr>
          <a:xfrm>
            <a:off x="2711075" y="2068450"/>
            <a:ext cx="451850" cy="50200"/>
          </a:xfrm>
          <a:custGeom>
            <a:rect b="b" l="l" r="r" t="t"/>
            <a:pathLst>
              <a:path extrusionOk="0" h="2008" w="18074">
                <a:moveTo>
                  <a:pt x="18074" y="0"/>
                </a:moveTo>
                <a:cubicBezTo>
                  <a:pt x="12012" y="0"/>
                  <a:pt x="6062" y="2008"/>
                  <a:pt x="0" y="2008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6" name="Shape 6"/>
          <xdr:cNvSpPr/>
        </xdr:nvSpPr>
        <xdr:spPr>
          <a:xfrm>
            <a:off x="2891800" y="1887700"/>
            <a:ext cx="70300" cy="401650"/>
          </a:xfrm>
          <a:custGeom>
            <a:rect b="b" l="l" r="r" t="t"/>
            <a:pathLst>
              <a:path extrusionOk="0" h="16066" w="2812">
                <a:moveTo>
                  <a:pt x="0" y="0"/>
                </a:moveTo>
                <a:cubicBezTo>
                  <a:pt x="0" y="5437"/>
                  <a:pt x="378" y="11204"/>
                  <a:pt x="2812" y="16066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7" name="Shape 7"/>
          <xdr:cNvSpPr/>
        </xdr:nvSpPr>
        <xdr:spPr>
          <a:xfrm>
            <a:off x="2603269" y="1814687"/>
            <a:ext cx="608025" cy="659350"/>
          </a:xfrm>
          <a:custGeom>
            <a:rect b="b" l="l" r="r" t="t"/>
            <a:pathLst>
              <a:path extrusionOk="0" h="26374" w="24321">
                <a:moveTo>
                  <a:pt x="295" y="10552"/>
                </a:moveTo>
                <a:cubicBezTo>
                  <a:pt x="1958" y="6398"/>
                  <a:pt x="4342" y="-766"/>
                  <a:pt x="8730" y="110"/>
                </a:cubicBezTo>
                <a:cubicBezTo>
                  <a:pt x="16871" y="1736"/>
                  <a:pt x="26008" y="11737"/>
                  <a:pt x="23992" y="19790"/>
                </a:cubicBezTo>
                <a:cubicBezTo>
                  <a:pt x="23342" y="22387"/>
                  <a:pt x="21823" y="25838"/>
                  <a:pt x="19172" y="26216"/>
                </a:cubicBezTo>
                <a:cubicBezTo>
                  <a:pt x="14717" y="26852"/>
                  <a:pt x="11125" y="22090"/>
                  <a:pt x="7525" y="19389"/>
                </a:cubicBezTo>
                <a:cubicBezTo>
                  <a:pt x="4563" y="17166"/>
                  <a:pt x="-1359" y="14267"/>
                  <a:pt x="295" y="10954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13</xdr:col>
      <xdr:colOff>361950</xdr:colOff>
      <xdr:row>88</xdr:row>
      <xdr:rowOff>28575</xdr:rowOff>
    </xdr:from>
    <xdr:ext cx="1476375" cy="2171700"/>
    <xdr:grpSp>
      <xdr:nvGrpSpPr>
        <xdr:cNvPr id="2" name="Shape 2" title="Drawing"/>
        <xdr:cNvGrpSpPr/>
      </xdr:nvGrpSpPr>
      <xdr:grpSpPr>
        <a:xfrm>
          <a:off x="1315375" y="1204925"/>
          <a:ext cx="1455950" cy="2596925"/>
          <a:chOff x="1315375" y="1204925"/>
          <a:chExt cx="1455950" cy="2596925"/>
        </a:xfrm>
      </xdr:grpSpPr>
      <xdr:sp>
        <xdr:nvSpPr>
          <xdr:cNvPr id="8" name="Shape 8"/>
          <xdr:cNvSpPr/>
        </xdr:nvSpPr>
        <xdr:spPr>
          <a:xfrm>
            <a:off x="1315375" y="1204925"/>
            <a:ext cx="1174425" cy="2580525"/>
          </a:xfrm>
          <a:custGeom>
            <a:rect b="b" l="l" r="r" t="t"/>
            <a:pathLst>
              <a:path extrusionOk="0" h="103221" w="46977">
                <a:moveTo>
                  <a:pt x="0" y="0"/>
                </a:moveTo>
                <a:cubicBezTo>
                  <a:pt x="12698" y="0"/>
                  <a:pt x="27811" y="5297"/>
                  <a:pt x="34541" y="16065"/>
                </a:cubicBezTo>
                <a:cubicBezTo>
                  <a:pt x="50084" y="40936"/>
                  <a:pt x="46590" y="73893"/>
                  <a:pt x="46590" y="103221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9" name="Shape 9"/>
          <xdr:cNvSpPr/>
        </xdr:nvSpPr>
        <xdr:spPr>
          <a:xfrm>
            <a:off x="2168850" y="3474175"/>
            <a:ext cx="602475" cy="327675"/>
          </a:xfrm>
          <a:custGeom>
            <a:rect b="b" l="l" r="r" t="t"/>
            <a:pathLst>
              <a:path extrusionOk="0" h="13107" w="24099">
                <a:moveTo>
                  <a:pt x="0" y="0"/>
                </a:moveTo>
                <a:cubicBezTo>
                  <a:pt x="3467" y="4162"/>
                  <a:pt x="5935" y="9447"/>
                  <a:pt x="10443" y="12451"/>
                </a:cubicBezTo>
                <a:cubicBezTo>
                  <a:pt x="15280" y="15674"/>
                  <a:pt x="19986" y="5715"/>
                  <a:pt x="24099" y="1607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13</xdr:col>
      <xdr:colOff>361950</xdr:colOff>
      <xdr:row>110</xdr:row>
      <xdr:rowOff>114300</xdr:rowOff>
    </xdr:from>
    <xdr:ext cx="1552575" cy="4029075"/>
    <xdr:grpSp>
      <xdr:nvGrpSpPr>
        <xdr:cNvPr id="2" name="Shape 2" title="Drawing"/>
        <xdr:cNvGrpSpPr/>
      </xdr:nvGrpSpPr>
      <xdr:grpSpPr>
        <a:xfrm>
          <a:off x="1154725" y="1204925"/>
          <a:ext cx="1364475" cy="2972125"/>
          <a:chOff x="1154725" y="1204925"/>
          <a:chExt cx="1364475" cy="2972125"/>
        </a:xfrm>
      </xdr:grpSpPr>
      <xdr:sp>
        <xdr:nvSpPr>
          <xdr:cNvPr id="10" name="Shape 10"/>
          <xdr:cNvSpPr/>
        </xdr:nvSpPr>
        <xdr:spPr>
          <a:xfrm>
            <a:off x="1154725" y="1204925"/>
            <a:ext cx="1208450" cy="2871725"/>
          </a:xfrm>
          <a:custGeom>
            <a:rect b="b" l="l" r="r" t="t"/>
            <a:pathLst>
              <a:path extrusionOk="0" h="114869" w="48338">
                <a:moveTo>
                  <a:pt x="0" y="0"/>
                </a:moveTo>
                <a:cubicBezTo>
                  <a:pt x="17668" y="7065"/>
                  <a:pt x="31611" y="23374"/>
                  <a:pt x="40565" y="40164"/>
                </a:cubicBezTo>
                <a:cubicBezTo>
                  <a:pt x="44590" y="47711"/>
                  <a:pt x="48764" y="56129"/>
                  <a:pt x="48196" y="64664"/>
                </a:cubicBezTo>
                <a:cubicBezTo>
                  <a:pt x="46680" y="87444"/>
                  <a:pt x="22021" y="104649"/>
                  <a:pt x="1606" y="114869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1" name="Shape 11"/>
          <xdr:cNvSpPr/>
        </xdr:nvSpPr>
        <xdr:spPr>
          <a:xfrm>
            <a:off x="1163613" y="3926025"/>
            <a:ext cx="432900" cy="251025"/>
          </a:xfrm>
          <a:custGeom>
            <a:rect b="b" l="l" r="r" t="t"/>
            <a:pathLst>
              <a:path extrusionOk="0" h="10041" w="17316">
                <a:moveTo>
                  <a:pt x="2053" y="0"/>
                </a:moveTo>
                <a:cubicBezTo>
                  <a:pt x="1328" y="2905"/>
                  <a:pt x="-893" y="6159"/>
                  <a:pt x="447" y="8836"/>
                </a:cubicBezTo>
                <a:cubicBezTo>
                  <a:pt x="1228" y="10397"/>
                  <a:pt x="3940" y="8991"/>
                  <a:pt x="5668" y="9238"/>
                </a:cubicBezTo>
                <a:cubicBezTo>
                  <a:pt x="9521" y="9789"/>
                  <a:pt x="13424" y="10041"/>
                  <a:pt x="17316" y="10041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2" name="Shape 12"/>
          <xdr:cNvSpPr/>
        </xdr:nvSpPr>
        <xdr:spPr>
          <a:xfrm>
            <a:off x="2108600" y="2729016"/>
            <a:ext cx="391600" cy="52325"/>
          </a:xfrm>
          <a:custGeom>
            <a:rect b="b" l="l" r="r" t="t"/>
            <a:pathLst>
              <a:path extrusionOk="0" h="2093" w="15664">
                <a:moveTo>
                  <a:pt x="15664" y="85"/>
                </a:moveTo>
                <a:cubicBezTo>
                  <a:pt x="10400" y="85"/>
                  <a:pt x="4711" y="-256"/>
                  <a:pt x="0" y="2093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3" name="Shape 13"/>
          <xdr:cNvSpPr/>
        </xdr:nvSpPr>
        <xdr:spPr>
          <a:xfrm>
            <a:off x="2289350" y="2439950"/>
            <a:ext cx="80325" cy="532175"/>
          </a:xfrm>
          <a:custGeom>
            <a:rect b="b" l="l" r="r" t="t"/>
            <a:pathLst>
              <a:path extrusionOk="0" h="21287" w="3213">
                <a:moveTo>
                  <a:pt x="0" y="0"/>
                </a:moveTo>
                <a:cubicBezTo>
                  <a:pt x="891" y="7121"/>
                  <a:pt x="3213" y="14111"/>
                  <a:pt x="3213" y="21287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4" name="Shape 14"/>
          <xdr:cNvSpPr/>
        </xdr:nvSpPr>
        <xdr:spPr>
          <a:xfrm>
            <a:off x="2098575" y="2436966"/>
            <a:ext cx="420625" cy="519950"/>
          </a:xfrm>
          <a:custGeom>
            <a:rect b="b" l="l" r="r" t="t"/>
            <a:pathLst>
              <a:path extrusionOk="0" h="20798" w="16825">
                <a:moveTo>
                  <a:pt x="401" y="13374"/>
                </a:moveTo>
                <a:cubicBezTo>
                  <a:pt x="1207" y="9347"/>
                  <a:pt x="1514" y="4630"/>
                  <a:pt x="4418" y="1726"/>
                </a:cubicBezTo>
                <a:cubicBezTo>
                  <a:pt x="6981" y="-837"/>
                  <a:pt x="13088" y="-371"/>
                  <a:pt x="15262" y="2529"/>
                </a:cubicBezTo>
                <a:cubicBezTo>
                  <a:pt x="19098" y="7645"/>
                  <a:pt x="15106" y="19348"/>
                  <a:pt x="8836" y="20603"/>
                </a:cubicBezTo>
                <a:cubicBezTo>
                  <a:pt x="4933" y="21384"/>
                  <a:pt x="1777" y="16132"/>
                  <a:pt x="0" y="1257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13</xdr:col>
      <xdr:colOff>361950</xdr:colOff>
      <xdr:row>56</xdr:row>
      <xdr:rowOff>28575</xdr:rowOff>
    </xdr:from>
    <xdr:ext cx="1552575" cy="5038725"/>
    <xdr:grpSp>
      <xdr:nvGrpSpPr>
        <xdr:cNvPr id="2" name="Shape 2" title="Drawing"/>
        <xdr:cNvGrpSpPr/>
      </xdr:nvGrpSpPr>
      <xdr:grpSpPr>
        <a:xfrm>
          <a:off x="833400" y="873575"/>
          <a:ext cx="1537112" cy="4423825"/>
          <a:chOff x="833400" y="873575"/>
          <a:chExt cx="1537112" cy="4423825"/>
        </a:xfrm>
      </xdr:grpSpPr>
      <xdr:sp>
        <xdr:nvSpPr>
          <xdr:cNvPr id="21" name="Shape 21"/>
          <xdr:cNvSpPr/>
        </xdr:nvSpPr>
        <xdr:spPr>
          <a:xfrm>
            <a:off x="833400" y="873575"/>
            <a:ext cx="1268350" cy="4307575"/>
          </a:xfrm>
          <a:custGeom>
            <a:rect b="b" l="l" r="r" t="t"/>
            <a:pathLst>
              <a:path extrusionOk="0" h="172303" w="50734">
                <a:moveTo>
                  <a:pt x="0" y="0"/>
                </a:moveTo>
                <a:cubicBezTo>
                  <a:pt x="18789" y="0"/>
                  <a:pt x="40647" y="13904"/>
                  <a:pt x="46590" y="31729"/>
                </a:cubicBezTo>
                <a:cubicBezTo>
                  <a:pt x="52986" y="50911"/>
                  <a:pt x="50657" y="72361"/>
                  <a:pt x="47795" y="92377"/>
                </a:cubicBezTo>
                <a:cubicBezTo>
                  <a:pt x="45238" y="110265"/>
                  <a:pt x="45900" y="129284"/>
                  <a:pt x="38558" y="145795"/>
                </a:cubicBezTo>
                <a:cubicBezTo>
                  <a:pt x="33124" y="158016"/>
                  <a:pt x="20401" y="166327"/>
                  <a:pt x="8435" y="172303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22" name="Shape 22"/>
          <xdr:cNvSpPr/>
        </xdr:nvSpPr>
        <xdr:spPr>
          <a:xfrm>
            <a:off x="992142" y="4970300"/>
            <a:ext cx="92275" cy="292150"/>
          </a:xfrm>
          <a:custGeom>
            <a:rect b="b" l="l" r="r" t="t"/>
            <a:pathLst>
              <a:path extrusionOk="0" h="11686" w="3691">
                <a:moveTo>
                  <a:pt x="3691" y="0"/>
                </a:moveTo>
                <a:cubicBezTo>
                  <a:pt x="2951" y="3697"/>
                  <a:pt x="-1210" y="14215"/>
                  <a:pt x="478" y="10844"/>
                </a:cubicBezTo>
              </a:path>
            </a:pathLst>
          </a:custGeom>
          <a:noFill/>
          <a:ln cap="flat" cmpd="sng" w="762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23" name="Shape 23"/>
          <xdr:cNvSpPr/>
        </xdr:nvSpPr>
        <xdr:spPr>
          <a:xfrm>
            <a:off x="973975" y="5261475"/>
            <a:ext cx="421725" cy="35925"/>
          </a:xfrm>
          <a:custGeom>
            <a:rect b="b" l="l" r="r" t="t"/>
            <a:pathLst>
              <a:path extrusionOk="0" h="1437" w="16869">
                <a:moveTo>
                  <a:pt x="16869" y="804"/>
                </a:moveTo>
                <a:cubicBezTo>
                  <a:pt x="11528" y="2584"/>
                  <a:pt x="5629" y="0"/>
                  <a:pt x="0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24" name="Shape 24"/>
          <xdr:cNvSpPr/>
        </xdr:nvSpPr>
        <xdr:spPr>
          <a:xfrm>
            <a:off x="1837500" y="2875465"/>
            <a:ext cx="532175" cy="66525"/>
          </a:xfrm>
          <a:custGeom>
            <a:rect b="b" l="l" r="r" t="t"/>
            <a:pathLst>
              <a:path extrusionOk="0" h="2661" w="21287">
                <a:moveTo>
                  <a:pt x="0" y="2661"/>
                </a:moveTo>
                <a:cubicBezTo>
                  <a:pt x="6270" y="-758"/>
                  <a:pt x="14146" y="252"/>
                  <a:pt x="21287" y="252"/>
                </a:cubicBezTo>
              </a:path>
            </a:pathLst>
          </a:custGeom>
          <a:noFill/>
          <a:ln cap="flat" cmpd="sng" w="762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25" name="Shape 25"/>
          <xdr:cNvSpPr/>
        </xdr:nvSpPr>
        <xdr:spPr>
          <a:xfrm>
            <a:off x="1978075" y="2510250"/>
            <a:ext cx="80325" cy="612500"/>
          </a:xfrm>
          <a:custGeom>
            <a:rect b="b" l="l" r="r" t="t"/>
            <a:pathLst>
              <a:path extrusionOk="0" h="24500" w="3213">
                <a:moveTo>
                  <a:pt x="0" y="0"/>
                </a:moveTo>
                <a:cubicBezTo>
                  <a:pt x="2604" y="7814"/>
                  <a:pt x="-467" y="17131"/>
                  <a:pt x="3213" y="24500"/>
                </a:cubicBezTo>
              </a:path>
            </a:pathLst>
          </a:custGeom>
          <a:noFill/>
          <a:ln cap="flat" cmpd="sng" w="762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26" name="Shape 26"/>
          <xdr:cNvSpPr/>
        </xdr:nvSpPr>
        <xdr:spPr>
          <a:xfrm>
            <a:off x="1752987" y="2369754"/>
            <a:ext cx="617525" cy="984075"/>
          </a:xfrm>
          <a:custGeom>
            <a:rect b="b" l="l" r="r" t="t"/>
            <a:pathLst>
              <a:path extrusionOk="0" h="39363" w="24701">
                <a:moveTo>
                  <a:pt x="3381" y="12849"/>
                </a:moveTo>
                <a:cubicBezTo>
                  <a:pt x="4513" y="8318"/>
                  <a:pt x="5630" y="2488"/>
                  <a:pt x="9807" y="399"/>
                </a:cubicBezTo>
                <a:cubicBezTo>
                  <a:pt x="12231" y="-814"/>
                  <a:pt x="15521" y="1293"/>
                  <a:pt x="17438" y="3210"/>
                </a:cubicBezTo>
                <a:cubicBezTo>
                  <a:pt x="25864" y="11636"/>
                  <a:pt x="28342" y="35189"/>
                  <a:pt x="17037" y="38956"/>
                </a:cubicBezTo>
                <a:cubicBezTo>
                  <a:pt x="9493" y="41470"/>
                  <a:pt x="1729" y="29884"/>
                  <a:pt x="168" y="22087"/>
                </a:cubicBezTo>
                <a:cubicBezTo>
                  <a:pt x="-502" y="18740"/>
                  <a:pt x="3059" y="15902"/>
                  <a:pt x="4586" y="12849"/>
                </a:cubicBezTo>
              </a:path>
            </a:pathLst>
          </a:custGeom>
          <a:noFill/>
          <a:ln cap="flat" cmpd="sng" w="762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</row>
    <row r="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B4" s="4" t="s">
        <v>1</v>
      </c>
      <c r="C4" s="5">
        <f t="shared" ref="C4:G4" si="1">rand()</f>
        <v>0.6393957851</v>
      </c>
      <c r="D4" s="6">
        <f t="shared" si="1"/>
        <v>0.3165407704</v>
      </c>
      <c r="E4" s="6">
        <f t="shared" si="1"/>
        <v>0.01958154159</v>
      </c>
      <c r="F4" s="6">
        <f t="shared" si="1"/>
        <v>0.8841866718</v>
      </c>
      <c r="G4" s="7">
        <f t="shared" si="1"/>
        <v>0.00137134544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B5" s="1"/>
      <c r="C5" s="8">
        <f t="shared" ref="C5:G5" si="2">rand()</f>
        <v>0.5312505754</v>
      </c>
      <c r="D5" s="9">
        <f t="shared" si="2"/>
        <v>0.8739091201</v>
      </c>
      <c r="E5" s="9">
        <f t="shared" si="2"/>
        <v>0.1698260362</v>
      </c>
      <c r="F5" s="9">
        <f t="shared" si="2"/>
        <v>0.7931902116</v>
      </c>
      <c r="G5" s="10">
        <f t="shared" si="2"/>
        <v>0.5471315207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B6" s="1"/>
      <c r="C6" s="8">
        <f t="shared" ref="C6:G6" si="3">rand()</f>
        <v>0.2193931585</v>
      </c>
      <c r="D6" s="9">
        <f t="shared" si="3"/>
        <v>0.4027589721</v>
      </c>
      <c r="E6" s="9">
        <f t="shared" si="3"/>
        <v>0.05463851961</v>
      </c>
      <c r="F6" s="9">
        <f t="shared" si="3"/>
        <v>0.792479247</v>
      </c>
      <c r="G6" s="10">
        <f t="shared" si="3"/>
        <v>0.08465951182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B7" s="1"/>
      <c r="C7" s="8">
        <f t="shared" ref="C7:G7" si="4">rand()</f>
        <v>0.9022758538</v>
      </c>
      <c r="D7" s="9">
        <f t="shared" si="4"/>
        <v>0.2994275032</v>
      </c>
      <c r="E7" s="9">
        <f t="shared" si="4"/>
        <v>0.7413208575</v>
      </c>
      <c r="F7" s="9">
        <f t="shared" si="4"/>
        <v>0.3404786398</v>
      </c>
      <c r="G7" s="10">
        <f t="shared" si="4"/>
        <v>0.9132155409</v>
      </c>
      <c r="H7" s="2"/>
      <c r="I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B8" s="1"/>
      <c r="C8" s="11">
        <f t="shared" ref="C8:G8" si="5">rand()</f>
        <v>0.7616286861</v>
      </c>
      <c r="D8" s="12">
        <f t="shared" si="5"/>
        <v>0.7131163971</v>
      </c>
      <c r="E8" s="12">
        <f t="shared" si="5"/>
        <v>0.4692019812</v>
      </c>
      <c r="F8" s="12">
        <f t="shared" si="5"/>
        <v>0.8901013867</v>
      </c>
      <c r="G8" s="13">
        <f t="shared" si="5"/>
        <v>0.8513267616</v>
      </c>
      <c r="H8" s="2"/>
      <c r="I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B9" s="1"/>
      <c r="C9" s="2"/>
      <c r="D9" s="2"/>
      <c r="E9" s="14" t="s">
        <v>2</v>
      </c>
      <c r="F9" s="2"/>
      <c r="G9" s="2"/>
      <c r="H9" s="2"/>
      <c r="I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B10" s="4" t="s">
        <v>3</v>
      </c>
      <c r="C10" s="15"/>
      <c r="D10" s="16"/>
      <c r="E10" s="16"/>
      <c r="F10" s="16"/>
      <c r="G10" s="17"/>
      <c r="H10" s="2"/>
      <c r="I10" s="4" t="s">
        <v>4</v>
      </c>
      <c r="J10" s="5">
        <f t="shared" ref="J10:N10" si="6">rand()</f>
        <v>0.4593025213</v>
      </c>
      <c r="K10" s="6">
        <f t="shared" si="6"/>
        <v>0.9637286803</v>
      </c>
      <c r="L10" s="6">
        <f t="shared" si="6"/>
        <v>0.1759337006</v>
      </c>
      <c r="M10" s="6">
        <f t="shared" si="6"/>
        <v>0.04180236844</v>
      </c>
      <c r="N10" s="7">
        <f t="shared" si="6"/>
        <v>0.3207708863</v>
      </c>
      <c r="P10" s="2"/>
      <c r="Q10" s="2"/>
      <c r="R10" s="2"/>
      <c r="Y10" s="2"/>
      <c r="Z10" s="2"/>
    </row>
    <row r="11">
      <c r="B11" s="1"/>
      <c r="C11" s="18"/>
      <c r="D11" s="2"/>
      <c r="E11" s="2"/>
      <c r="F11" s="2"/>
      <c r="G11" s="19"/>
      <c r="H11" s="2"/>
      <c r="I11" s="1"/>
      <c r="J11" s="8">
        <f t="shared" ref="J11:N11" si="7">rand()</f>
        <v>0.004234745693</v>
      </c>
      <c r="K11" s="9">
        <f t="shared" si="7"/>
        <v>0.09184332721</v>
      </c>
      <c r="L11" s="9">
        <f t="shared" si="7"/>
        <v>0.9606902204</v>
      </c>
      <c r="M11" s="9">
        <f t="shared" si="7"/>
        <v>0.5875978135</v>
      </c>
      <c r="N11" s="10">
        <f t="shared" si="7"/>
        <v>0.05143210123</v>
      </c>
      <c r="P11" s="2"/>
      <c r="Q11" s="2"/>
      <c r="R11" s="2"/>
      <c r="Y11" s="2"/>
      <c r="Z11" s="2"/>
    </row>
    <row r="12">
      <c r="B12" s="1"/>
      <c r="C12" s="18"/>
      <c r="D12" s="2"/>
      <c r="E12" s="2"/>
      <c r="F12" s="2"/>
      <c r="G12" s="19"/>
      <c r="H12" s="20" t="s">
        <v>5</v>
      </c>
      <c r="I12" s="20" t="s">
        <v>5</v>
      </c>
      <c r="J12" s="8">
        <f t="shared" ref="J12:N12" si="8">rand()</f>
        <v>0.1751956621</v>
      </c>
      <c r="K12" s="9">
        <f t="shared" si="8"/>
        <v>0.2193544605</v>
      </c>
      <c r="L12" s="9">
        <f t="shared" si="8"/>
        <v>0.7988725951</v>
      </c>
      <c r="M12" s="9">
        <f t="shared" si="8"/>
        <v>0.7265777342</v>
      </c>
      <c r="N12" s="10">
        <f t="shared" si="8"/>
        <v>0.7213835403</v>
      </c>
      <c r="P12" s="2"/>
      <c r="Q12" s="2"/>
      <c r="R12" s="2"/>
      <c r="Y12" s="2"/>
      <c r="Z12" s="2"/>
    </row>
    <row r="13">
      <c r="B13" s="1"/>
      <c r="C13" s="18"/>
      <c r="D13" s="2"/>
      <c r="E13" s="2"/>
      <c r="F13" s="2"/>
      <c r="G13" s="19"/>
      <c r="H13" s="2"/>
      <c r="I13" s="1"/>
      <c r="J13" s="8">
        <f t="shared" ref="J13:N13" si="9">rand()</f>
        <v>0.6437463482</v>
      </c>
      <c r="K13" s="9">
        <f t="shared" si="9"/>
        <v>0.5129294807</v>
      </c>
      <c r="L13" s="9">
        <f t="shared" si="9"/>
        <v>0.8912695261</v>
      </c>
      <c r="M13" s="9">
        <f t="shared" si="9"/>
        <v>0.6761144202</v>
      </c>
      <c r="N13" s="10">
        <f t="shared" si="9"/>
        <v>0.7593488359</v>
      </c>
      <c r="P13" s="2"/>
      <c r="Q13" s="2"/>
      <c r="R13" s="2"/>
      <c r="Y13" s="2"/>
      <c r="Z13" s="2"/>
    </row>
    <row r="14">
      <c r="B14" s="1"/>
      <c r="C14" s="21"/>
      <c r="D14" s="22"/>
      <c r="E14" s="22"/>
      <c r="F14" s="22"/>
      <c r="G14" s="23"/>
      <c r="H14" s="2"/>
      <c r="I14" s="1"/>
      <c r="J14" s="11">
        <f t="shared" ref="J14:N14" si="10">rand()</f>
        <v>0.9597942379</v>
      </c>
      <c r="K14" s="12">
        <f t="shared" si="10"/>
        <v>0.5493491064</v>
      </c>
      <c r="L14" s="12">
        <f t="shared" si="10"/>
        <v>0.8568446974</v>
      </c>
      <c r="M14" s="12">
        <f t="shared" si="10"/>
        <v>0.5258643357</v>
      </c>
      <c r="N14" s="13">
        <f t="shared" si="10"/>
        <v>0.02425527619</v>
      </c>
      <c r="P14" s="2"/>
      <c r="Q14" s="2"/>
      <c r="R14" s="2"/>
      <c r="Y14" s="2"/>
      <c r="Z14" s="2"/>
    </row>
    <row r="15"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6</v>
      </c>
    </row>
    <row r="17">
      <c r="B17" s="1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B18" s="4" t="s">
        <v>1</v>
      </c>
      <c r="C18" s="5">
        <f t="shared" ref="C18:G18" si="11">rand()</f>
        <v>0.8877244786</v>
      </c>
      <c r="D18" s="6">
        <f t="shared" si="11"/>
        <v>0.9353876472</v>
      </c>
      <c r="E18" s="6">
        <f t="shared" si="11"/>
        <v>0.4351052717</v>
      </c>
      <c r="F18" s="6">
        <f t="shared" si="11"/>
        <v>0.5421318324</v>
      </c>
      <c r="G18" s="7">
        <f t="shared" si="11"/>
        <v>0.2668310092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B19" s="1"/>
      <c r="C19" s="8">
        <f t="shared" ref="C19:G19" si="12">rand()</f>
        <v>0.2207505173</v>
      </c>
      <c r="D19" s="9">
        <f t="shared" si="12"/>
        <v>0.007240937697</v>
      </c>
      <c r="E19" s="9">
        <f t="shared" si="12"/>
        <v>0.699689421</v>
      </c>
      <c r="F19" s="9">
        <f t="shared" si="12"/>
        <v>0.8134063835</v>
      </c>
      <c r="G19" s="10">
        <f t="shared" si="12"/>
        <v>0.89515579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B20" s="1"/>
      <c r="C20" s="8">
        <f t="shared" ref="C20:G20" si="13">rand()</f>
        <v>0.2662832512</v>
      </c>
      <c r="D20" s="9">
        <f t="shared" si="13"/>
        <v>0.158207892</v>
      </c>
      <c r="E20" s="9">
        <f t="shared" si="13"/>
        <v>0.5848812945</v>
      </c>
      <c r="F20" s="9">
        <f t="shared" si="13"/>
        <v>0.8431719698</v>
      </c>
      <c r="G20" s="10">
        <f t="shared" si="13"/>
        <v>0.1636323702</v>
      </c>
      <c r="H20" s="2"/>
      <c r="I20" s="2"/>
      <c r="J20" s="2"/>
      <c r="K20" s="2"/>
      <c r="L20" s="2"/>
      <c r="M20" s="2"/>
      <c r="N20" s="2"/>
      <c r="O20" s="2"/>
      <c r="P20" s="2"/>
      <c r="W20" s="2"/>
      <c r="X20" s="2"/>
      <c r="Y20" s="2"/>
      <c r="Z20" s="2"/>
    </row>
    <row r="21">
      <c r="B21" s="1"/>
      <c r="C21" s="8">
        <f t="shared" ref="C21:G21" si="14">rand()</f>
        <v>0.9366496618</v>
      </c>
      <c r="D21" s="9">
        <f t="shared" si="14"/>
        <v>0.5680966345</v>
      </c>
      <c r="E21" s="9">
        <f t="shared" si="14"/>
        <v>0.7717168628</v>
      </c>
      <c r="F21" s="9">
        <f t="shared" si="14"/>
        <v>0.1618768578</v>
      </c>
      <c r="G21" s="10">
        <f t="shared" si="14"/>
        <v>0.8739805714</v>
      </c>
      <c r="H21" s="2"/>
      <c r="I21" s="2"/>
      <c r="W21" s="2"/>
      <c r="X21" s="2"/>
      <c r="Y21" s="2"/>
      <c r="Z21" s="2"/>
    </row>
    <row r="22">
      <c r="B22" s="1"/>
      <c r="C22" s="11">
        <f t="shared" ref="C22:G22" si="15">rand()</f>
        <v>0.2725569689</v>
      </c>
      <c r="D22" s="12">
        <f t="shared" si="15"/>
        <v>0.3603358386</v>
      </c>
      <c r="E22" s="12">
        <f t="shared" si="15"/>
        <v>0.2532768521</v>
      </c>
      <c r="F22" s="12">
        <f t="shared" si="15"/>
        <v>0.7062336842</v>
      </c>
      <c r="G22" s="13">
        <f t="shared" si="15"/>
        <v>0.0518993211</v>
      </c>
      <c r="H22" s="2"/>
      <c r="I22" s="2"/>
      <c r="W22" s="2"/>
      <c r="X22" s="2"/>
      <c r="Y22" s="2"/>
      <c r="Z22" s="2"/>
    </row>
    <row r="23">
      <c r="B23" s="1"/>
      <c r="C23" s="2"/>
      <c r="D23" s="2"/>
      <c r="E23" s="14" t="s">
        <v>2</v>
      </c>
      <c r="F23" s="2"/>
      <c r="G23" s="2"/>
      <c r="H23" s="2"/>
      <c r="I23" s="2"/>
      <c r="W23" s="2"/>
      <c r="X23" s="2"/>
      <c r="Y23" s="2"/>
      <c r="Z23" s="2"/>
    </row>
    <row r="24">
      <c r="B24" s="4" t="s">
        <v>3</v>
      </c>
      <c r="C24" s="24"/>
      <c r="D24" s="25"/>
      <c r="E24" s="25"/>
      <c r="F24" s="25"/>
      <c r="G24" s="26"/>
      <c r="H24" s="2"/>
      <c r="I24" s="4" t="s">
        <v>4</v>
      </c>
      <c r="J24" s="5">
        <f t="shared" ref="J24:N24" si="16">rand()</f>
        <v>0.8377851715</v>
      </c>
      <c r="K24" s="6">
        <f t="shared" si="16"/>
        <v>0.9348131293</v>
      </c>
      <c r="L24" s="6">
        <f t="shared" si="16"/>
        <v>0.261289137</v>
      </c>
      <c r="M24" s="6">
        <f t="shared" si="16"/>
        <v>0.8396943061</v>
      </c>
      <c r="N24" s="7">
        <f t="shared" si="16"/>
        <v>0.2859151842</v>
      </c>
      <c r="W24" s="2"/>
      <c r="X24" s="2"/>
      <c r="Y24" s="2"/>
      <c r="Z24" s="2"/>
    </row>
    <row r="25">
      <c r="B25" s="1"/>
      <c r="C25" s="27"/>
      <c r="D25" s="28"/>
      <c r="E25" s="28"/>
      <c r="F25" s="28"/>
      <c r="G25" s="29"/>
      <c r="H25" s="2"/>
      <c r="I25" s="1"/>
      <c r="J25" s="8">
        <f t="shared" ref="J25:N25" si="17">rand()</f>
        <v>0.193511885</v>
      </c>
      <c r="K25" s="9">
        <f t="shared" si="17"/>
        <v>0.6493180298</v>
      </c>
      <c r="L25" s="9">
        <f t="shared" si="17"/>
        <v>0.4483631638</v>
      </c>
      <c r="M25" s="9">
        <f t="shared" si="17"/>
        <v>0.5889543807</v>
      </c>
      <c r="N25" s="10">
        <f t="shared" si="17"/>
        <v>0.408162709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B26" s="1"/>
      <c r="C26" s="27"/>
      <c r="D26" s="28"/>
      <c r="E26" s="28"/>
      <c r="F26" s="28"/>
      <c r="G26" s="29"/>
      <c r="H26" s="30" t="s">
        <v>5</v>
      </c>
      <c r="I26" s="30" t="s">
        <v>5</v>
      </c>
      <c r="J26" s="8">
        <f t="shared" ref="J26:N26" si="18">rand()</f>
        <v>0.8053427195</v>
      </c>
      <c r="K26" s="9">
        <f t="shared" si="18"/>
        <v>0.5624911944</v>
      </c>
      <c r="L26" s="9">
        <f t="shared" si="18"/>
        <v>0.3221052218</v>
      </c>
      <c r="M26" s="9">
        <f t="shared" si="18"/>
        <v>0.183133324</v>
      </c>
      <c r="N26" s="10">
        <f t="shared" si="18"/>
        <v>0.8920005692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B27" s="1"/>
      <c r="C27" s="27"/>
      <c r="D27" s="28"/>
      <c r="E27" s="28"/>
      <c r="F27" s="28"/>
      <c r="G27" s="29"/>
      <c r="H27" s="2"/>
      <c r="I27" s="1"/>
      <c r="J27" s="8">
        <f t="shared" ref="J27:N27" si="19">rand()</f>
        <v>0.8056808223</v>
      </c>
      <c r="K27" s="9">
        <f t="shared" si="19"/>
        <v>0.5174647513</v>
      </c>
      <c r="L27" s="9">
        <f t="shared" si="19"/>
        <v>0.0800133611</v>
      </c>
      <c r="M27" s="9">
        <f t="shared" si="19"/>
        <v>0.263526606</v>
      </c>
      <c r="N27" s="10">
        <f t="shared" si="19"/>
        <v>0.406114536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B28" s="1"/>
      <c r="C28" s="31"/>
      <c r="D28" s="32"/>
      <c r="E28" s="32"/>
      <c r="F28" s="32"/>
      <c r="G28" s="33"/>
      <c r="H28" s="2"/>
      <c r="I28" s="1"/>
      <c r="J28" s="11">
        <f t="shared" ref="J28:N28" si="20">rand()</f>
        <v>0.5212626732</v>
      </c>
      <c r="K28" s="12">
        <f t="shared" si="20"/>
        <v>0.6892867695</v>
      </c>
      <c r="L28" s="12">
        <f t="shared" si="20"/>
        <v>0.8076093511</v>
      </c>
      <c r="M28" s="12">
        <f t="shared" si="20"/>
        <v>0.2682072312</v>
      </c>
      <c r="N28" s="13">
        <f t="shared" si="20"/>
        <v>0.5973275146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B30" s="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7</v>
      </c>
    </row>
    <row r="32">
      <c r="B32" s="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B33" s="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I34" s="4" t="s">
        <v>8</v>
      </c>
      <c r="J34" s="34">
        <f t="shared" ref="J34:N34" si="21">rand()</f>
        <v>0.07650994933</v>
      </c>
      <c r="K34" s="25">
        <f t="shared" si="21"/>
        <v>0.4921179687</v>
      </c>
      <c r="L34" s="25">
        <f t="shared" si="21"/>
        <v>0.532876951</v>
      </c>
      <c r="M34" s="25">
        <f t="shared" si="21"/>
        <v>0.9654574964</v>
      </c>
      <c r="N34" s="26">
        <f t="shared" si="21"/>
        <v>0.7990054819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I35" s="1"/>
      <c r="J35" s="27">
        <f t="shared" ref="J35:N35" si="22">rand()</f>
        <v>0.428663121</v>
      </c>
      <c r="K35" s="28">
        <f t="shared" si="22"/>
        <v>0.8733006828</v>
      </c>
      <c r="L35" s="28">
        <f t="shared" si="22"/>
        <v>0.9777898382</v>
      </c>
      <c r="M35" s="28">
        <f t="shared" si="22"/>
        <v>0.8328480076</v>
      </c>
      <c r="N35" s="29">
        <f t="shared" si="22"/>
        <v>0.8746262204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I36" s="1"/>
      <c r="J36" s="27">
        <f t="shared" ref="J36:N36" si="23">rand()</f>
        <v>0.9233894974</v>
      </c>
      <c r="K36" s="28">
        <f t="shared" si="23"/>
        <v>0.0890779974</v>
      </c>
      <c r="L36" s="28">
        <f t="shared" si="23"/>
        <v>0.7070514102</v>
      </c>
      <c r="M36" s="28">
        <f t="shared" si="23"/>
        <v>0.2119560858</v>
      </c>
      <c r="N36" s="29">
        <f t="shared" si="23"/>
        <v>0.1606894115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I37" s="1"/>
      <c r="J37" s="27">
        <f t="shared" ref="J37:N37" si="24">rand()</f>
        <v>0.9876923836</v>
      </c>
      <c r="K37" s="28">
        <f t="shared" si="24"/>
        <v>0.2751327801</v>
      </c>
      <c r="L37" s="28">
        <f t="shared" si="24"/>
        <v>0.9894191353</v>
      </c>
      <c r="M37" s="28">
        <f t="shared" si="24"/>
        <v>0.3456440893</v>
      </c>
      <c r="N37" s="29">
        <f t="shared" si="24"/>
        <v>0.6080904676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I38" s="1"/>
      <c r="J38" s="31">
        <f t="shared" ref="J38:N38" si="25">rand()</f>
        <v>0.1839423322</v>
      </c>
      <c r="K38" s="32">
        <f t="shared" si="25"/>
        <v>0.6889696944</v>
      </c>
      <c r="L38" s="32">
        <f t="shared" si="25"/>
        <v>0.3017268165</v>
      </c>
      <c r="M38" s="32">
        <f t="shared" si="25"/>
        <v>0.2455110721</v>
      </c>
      <c r="N38" s="33">
        <f t="shared" si="25"/>
        <v>0.7159263954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B39" s="1"/>
      <c r="C39" s="2"/>
      <c r="D39" s="2"/>
      <c r="E39" s="14"/>
      <c r="F39" s="2"/>
      <c r="G39" s="2"/>
      <c r="H39" s="2"/>
      <c r="I39" s="2"/>
      <c r="J39" s="2"/>
      <c r="K39" s="2"/>
      <c r="L39" s="14" t="s">
        <v>2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B40" s="4" t="s">
        <v>9</v>
      </c>
      <c r="C40" s="34">
        <f t="shared" ref="C40:G40" si="26">rand()</f>
        <v>0.245544649</v>
      </c>
      <c r="D40" s="25">
        <f t="shared" si="26"/>
        <v>0.4389001511</v>
      </c>
      <c r="E40" s="25">
        <f t="shared" si="26"/>
        <v>0.9787106863</v>
      </c>
      <c r="F40" s="25">
        <f t="shared" si="26"/>
        <v>0.4703534474</v>
      </c>
      <c r="G40" s="26">
        <f t="shared" si="26"/>
        <v>0.04140873451</v>
      </c>
      <c r="H40" s="2"/>
      <c r="I40" s="4" t="s">
        <v>10</v>
      </c>
      <c r="J40" s="5"/>
      <c r="K40" s="6"/>
      <c r="L40" s="6"/>
      <c r="M40" s="6"/>
      <c r="N40" s="7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B41" s="4" t="s">
        <v>11</v>
      </c>
      <c r="C41" s="27">
        <f t="shared" ref="C41:G41" si="27">rand()</f>
        <v>0.1289453312</v>
      </c>
      <c r="D41" s="28">
        <f t="shared" si="27"/>
        <v>0.6088984954</v>
      </c>
      <c r="E41" s="28">
        <f t="shared" si="27"/>
        <v>0.01435421589</v>
      </c>
      <c r="F41" s="28">
        <f t="shared" si="27"/>
        <v>0.1947606165</v>
      </c>
      <c r="G41" s="29">
        <f t="shared" si="27"/>
        <v>0.1796664758</v>
      </c>
      <c r="H41" s="2"/>
      <c r="I41" s="1"/>
      <c r="J41" s="8"/>
      <c r="K41" s="9"/>
      <c r="L41" s="9"/>
      <c r="M41" s="9"/>
      <c r="N41" s="10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B42" s="1"/>
      <c r="C42" s="27">
        <f t="shared" ref="C42:G42" si="28">rand()</f>
        <v>0.9647508607</v>
      </c>
      <c r="D42" s="28">
        <f t="shared" si="28"/>
        <v>0.05106166506</v>
      </c>
      <c r="E42" s="28">
        <f t="shared" si="28"/>
        <v>0.6333972327</v>
      </c>
      <c r="F42" s="28">
        <f t="shared" si="28"/>
        <v>0.2868369841</v>
      </c>
      <c r="G42" s="29">
        <f t="shared" si="28"/>
        <v>0.6201699424</v>
      </c>
      <c r="H42" s="14" t="s">
        <v>12</v>
      </c>
      <c r="I42" s="14" t="s">
        <v>12</v>
      </c>
      <c r="J42" s="8"/>
      <c r="K42" s="9"/>
      <c r="L42" s="9"/>
      <c r="M42" s="9"/>
      <c r="N42" s="10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B43" s="1"/>
      <c r="C43" s="27">
        <f t="shared" ref="C43:G43" si="29">rand()</f>
        <v>0.9357476805</v>
      </c>
      <c r="D43" s="28">
        <f t="shared" si="29"/>
        <v>0.03337354063</v>
      </c>
      <c r="E43" s="28">
        <f t="shared" si="29"/>
        <v>0.7065558083</v>
      </c>
      <c r="F43" s="28">
        <f t="shared" si="29"/>
        <v>0.7307201274</v>
      </c>
      <c r="G43" s="29">
        <f t="shared" si="29"/>
        <v>0.416556602</v>
      </c>
      <c r="H43" s="2"/>
      <c r="I43" s="1"/>
      <c r="J43" s="8"/>
      <c r="K43" s="9"/>
      <c r="L43" s="9"/>
      <c r="M43" s="9"/>
      <c r="N43" s="10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B44" s="1"/>
      <c r="C44" s="31">
        <f t="shared" ref="C44:G44" si="30">rand()</f>
        <v>0.156773039</v>
      </c>
      <c r="D44" s="32">
        <f t="shared" si="30"/>
        <v>0.4514236549</v>
      </c>
      <c r="E44" s="32">
        <f t="shared" si="30"/>
        <v>0.1863647045</v>
      </c>
      <c r="F44" s="32">
        <f t="shared" si="30"/>
        <v>0.9921154879</v>
      </c>
      <c r="G44" s="33">
        <f t="shared" si="30"/>
        <v>0.2138591498</v>
      </c>
      <c r="H44" s="2"/>
      <c r="I44" s="1"/>
      <c r="J44" s="11"/>
      <c r="K44" s="12"/>
      <c r="L44" s="12"/>
      <c r="M44" s="12"/>
      <c r="N44" s="1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B45" s="1"/>
      <c r="C45" s="2"/>
      <c r="D45" s="2"/>
      <c r="F45" s="2"/>
      <c r="G45" s="2"/>
      <c r="I45" s="1"/>
      <c r="J45" s="2"/>
      <c r="K45" s="2"/>
      <c r="L45" s="14" t="s">
        <v>2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I46" s="4" t="s">
        <v>13</v>
      </c>
      <c r="J46" s="15"/>
      <c r="K46" s="16"/>
      <c r="L46" s="16"/>
      <c r="M46" s="16"/>
      <c r="N46" s="17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I47" s="1"/>
      <c r="J47" s="18"/>
      <c r="K47" s="2"/>
      <c r="L47" s="2"/>
      <c r="M47" s="2"/>
      <c r="N47" s="1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I48" s="1"/>
      <c r="J48" s="18"/>
      <c r="K48" s="2"/>
      <c r="L48" s="2"/>
      <c r="M48" s="2"/>
      <c r="N48" s="1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I49" s="1"/>
      <c r="J49" s="18"/>
      <c r="K49" s="2"/>
      <c r="L49" s="2"/>
      <c r="M49" s="2"/>
      <c r="N49" s="1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I50" s="1"/>
      <c r="J50" s="21"/>
      <c r="K50" s="22"/>
      <c r="L50" s="22"/>
      <c r="M50" s="22"/>
      <c r="N50" s="23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>
      <c r="A52" s="36" t="s">
        <v>14</v>
      </c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>
      <c r="A54" s="35"/>
      <c r="B54" s="35"/>
      <c r="C54" s="35"/>
      <c r="D54" s="35"/>
      <c r="E54" s="35"/>
      <c r="F54" s="35"/>
      <c r="G54" s="35"/>
      <c r="H54" s="35"/>
      <c r="I54" s="37" t="s">
        <v>8</v>
      </c>
      <c r="J54" s="38">
        <f t="shared" ref="J54:N54" si="31">NORMINV(rand(),0, 1)</f>
        <v>0.2902396657</v>
      </c>
      <c r="K54" s="39">
        <f t="shared" si="31"/>
        <v>-0.5644270493</v>
      </c>
      <c r="L54" s="39">
        <f t="shared" si="31"/>
        <v>1.139240653</v>
      </c>
      <c r="M54" s="39">
        <f t="shared" si="31"/>
        <v>-0.8723489347</v>
      </c>
      <c r="N54" s="40">
        <f t="shared" si="31"/>
        <v>-0.9491250509</v>
      </c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>
      <c r="A55" s="35"/>
      <c r="B55" s="35"/>
      <c r="C55" s="35"/>
      <c r="D55" s="35"/>
      <c r="E55" s="35"/>
      <c r="F55" s="35"/>
      <c r="G55" s="35"/>
      <c r="H55" s="35"/>
      <c r="I55" s="35"/>
      <c r="J55" s="41">
        <f t="shared" ref="J55:N55" si="32">NORMINV(rand(),0, 1)</f>
        <v>0.2486792968</v>
      </c>
      <c r="K55" s="42">
        <f t="shared" si="32"/>
        <v>0.05486692568</v>
      </c>
      <c r="L55" s="42">
        <f t="shared" si="32"/>
        <v>0.7464063043</v>
      </c>
      <c r="M55" s="42">
        <f t="shared" si="32"/>
        <v>1.396147853</v>
      </c>
      <c r="N55" s="43">
        <f t="shared" si="32"/>
        <v>0.3035956082</v>
      </c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41">
        <f t="shared" ref="J56:N56" si="33">NORMINV(rand(),0, 1)</f>
        <v>1.206946783</v>
      </c>
      <c r="K56" s="42">
        <f t="shared" si="33"/>
        <v>1.494954466</v>
      </c>
      <c r="L56" s="42">
        <f t="shared" si="33"/>
        <v>1.244743764</v>
      </c>
      <c r="M56" s="42">
        <f t="shared" si="33"/>
        <v>0.2316778332</v>
      </c>
      <c r="N56" s="43">
        <f t="shared" si="33"/>
        <v>0.3313775532</v>
      </c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41">
        <f t="shared" ref="J57:N57" si="34">NORMINV(rand(),0, 1)</f>
        <v>-0.3633662387</v>
      </c>
      <c r="K57" s="42">
        <f t="shared" si="34"/>
        <v>1.554835335</v>
      </c>
      <c r="L57" s="42">
        <f t="shared" si="34"/>
        <v>-1.15435488</v>
      </c>
      <c r="M57" s="42">
        <f t="shared" si="34"/>
        <v>-0.07078964253</v>
      </c>
      <c r="N57" s="43">
        <f t="shared" si="34"/>
        <v>-2.190122059</v>
      </c>
      <c r="O57" s="35"/>
      <c r="P57" s="44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45">
        <f t="shared" ref="J58:N58" si="35">NORMINV(rand(),0, 1)</f>
        <v>-1.356794134</v>
      </c>
      <c r="K58" s="46">
        <f t="shared" si="35"/>
        <v>0.9812579309</v>
      </c>
      <c r="L58" s="46">
        <f t="shared" si="35"/>
        <v>-0.1926910275</v>
      </c>
      <c r="M58" s="46">
        <f t="shared" si="35"/>
        <v>-1.318026322</v>
      </c>
      <c r="N58" s="47">
        <f t="shared" si="35"/>
        <v>-0.009185725304</v>
      </c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48" t="s">
        <v>2</v>
      </c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>
      <c r="A60" s="35"/>
      <c r="B60" s="37" t="s">
        <v>9</v>
      </c>
      <c r="C60" s="38">
        <f t="shared" ref="C60:G60" si="36">NORMINV(rand(),0, 1)</f>
        <v>0.4760504636</v>
      </c>
      <c r="D60" s="39">
        <f t="shared" si="36"/>
        <v>-0.528514501</v>
      </c>
      <c r="E60" s="39">
        <f t="shared" si="36"/>
        <v>0.6648615963</v>
      </c>
      <c r="F60" s="39">
        <f t="shared" si="36"/>
        <v>1.170241993</v>
      </c>
      <c r="G60" s="40">
        <f t="shared" si="36"/>
        <v>-0.4848719955</v>
      </c>
      <c r="H60" s="35"/>
      <c r="I60" s="37" t="s">
        <v>10</v>
      </c>
      <c r="J60" s="49">
        <f t="array" ref="J60:N64">MMULT(J54:N58,C60:G64)</f>
        <v>1.833769355</v>
      </c>
      <c r="K60" s="50">
        <v>-0.21514371404420207</v>
      </c>
      <c r="L60" s="51">
        <v>1.7353149233473015</v>
      </c>
      <c r="M60" s="52">
        <v>1.3841815144389287</v>
      </c>
      <c r="N60" s="53">
        <v>-0.35961996169958044</v>
      </c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>
      <c r="A61" s="35"/>
      <c r="B61" s="37" t="s">
        <v>11</v>
      </c>
      <c r="C61" s="41">
        <f t="shared" ref="C61:G61" si="37">NORMINV(rand(),0, 1)</f>
        <v>-1.556151576</v>
      </c>
      <c r="D61" s="42">
        <f t="shared" si="37"/>
        <v>2.019209883</v>
      </c>
      <c r="E61" s="42">
        <f t="shared" si="37"/>
        <v>-0.04579350638</v>
      </c>
      <c r="F61" s="42">
        <f t="shared" si="37"/>
        <v>0.1792291123</v>
      </c>
      <c r="G61" s="43">
        <f t="shared" si="37"/>
        <v>-1.125274631</v>
      </c>
      <c r="H61" s="35"/>
      <c r="I61" s="35"/>
      <c r="J61" s="54">
        <v>-0.8777161304902248</v>
      </c>
      <c r="K61" s="55">
        <v>-2.3943828354851013</v>
      </c>
      <c r="L61" s="56">
        <v>-1.8062687199558114</v>
      </c>
      <c r="M61" s="57">
        <v>0.7961373959703979</v>
      </c>
      <c r="N61" s="58">
        <v>1.3233739408024399</v>
      </c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>
      <c r="A62" s="35"/>
      <c r="B62" s="35"/>
      <c r="C62" s="41">
        <f t="shared" ref="C62:G62" si="38">NORMINV(rand(),0, 1)</f>
        <v>0.3126932092</v>
      </c>
      <c r="D62" s="42">
        <f t="shared" si="38"/>
        <v>-0.6602288476</v>
      </c>
      <c r="E62" s="42">
        <f t="shared" si="38"/>
        <v>0.3838286025</v>
      </c>
      <c r="F62" s="42">
        <f t="shared" si="38"/>
        <v>-0.02304101821</v>
      </c>
      <c r="G62" s="43">
        <f t="shared" si="38"/>
        <v>-0.372116932</v>
      </c>
      <c r="H62" s="48" t="s">
        <v>12</v>
      </c>
      <c r="I62" s="48" t="s">
        <v>12</v>
      </c>
      <c r="J62" s="59">
        <v>-1.458517180712463</v>
      </c>
      <c r="K62" s="60">
        <v>1.0044955698831213</v>
      </c>
      <c r="L62" s="61">
        <v>0.9596172765712052</v>
      </c>
      <c r="M62" s="62">
        <v>1.1846051990420559</v>
      </c>
      <c r="N62" s="63">
        <v>-2.687872463359985</v>
      </c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>
      <c r="A63" s="35"/>
      <c r="B63" s="35"/>
      <c r="C63" s="41">
        <f t="shared" ref="C63:G63" si="39">NORMINV(rand(),0, 1)</f>
        <v>-0.8921629019</v>
      </c>
      <c r="D63" s="42">
        <f t="shared" si="39"/>
        <v>-1.159729718</v>
      </c>
      <c r="E63" s="42">
        <f t="shared" si="39"/>
        <v>-1.710103717</v>
      </c>
      <c r="F63" s="42">
        <f t="shared" si="39"/>
        <v>0.7943300258</v>
      </c>
      <c r="G63" s="43">
        <f t="shared" si="39"/>
        <v>1.473326126</v>
      </c>
      <c r="H63" s="35"/>
      <c r="I63" s="35"/>
      <c r="J63" s="64">
        <v>-3.6223880897854968</v>
      </c>
      <c r="K63" s="65">
        <v>6.06433499553237</v>
      </c>
      <c r="L63" s="66">
        <v>-1.5868455955442893</v>
      </c>
      <c r="M63" s="67">
        <v>4.127042647892835</v>
      </c>
      <c r="N63" s="68">
        <v>0.7251216991261897</v>
      </c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>
      <c r="A64" s="35"/>
      <c r="B64" s="35"/>
      <c r="C64" s="45">
        <f t="shared" ref="C64:G64" si="40">NORMINV(rand(),0, 1)</f>
        <v>0.3342484608</v>
      </c>
      <c r="D64" s="46">
        <f t="shared" si="40"/>
        <v>-0.8622882651</v>
      </c>
      <c r="E64" s="46">
        <f t="shared" si="40"/>
        <v>0.4346968622</v>
      </c>
      <c r="F64" s="46">
        <f t="shared" si="40"/>
        <v>-1.964835764</v>
      </c>
      <c r="G64" s="47">
        <f t="shared" si="40"/>
        <v>-0.9009970787</v>
      </c>
      <c r="H64" s="35"/>
      <c r="I64" s="35"/>
      <c r="J64" s="69">
        <v>-1.0603178543221297</v>
      </c>
      <c r="K64" s="70">
        <v>4.362146298318373</v>
      </c>
      <c r="L64" s="71">
        <v>1.2289928232314575</v>
      </c>
      <c r="M64" s="72">
        <v>-2.4363671268476867</v>
      </c>
      <c r="N64" s="73">
        <v>-2.3082158858579183</v>
      </c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48" t="s">
        <v>2</v>
      </c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>
      <c r="A66" s="35"/>
      <c r="B66" s="37" t="s">
        <v>15</v>
      </c>
      <c r="C66" s="74">
        <f t="shared" ref="C66:G66" si="41">NORMINV(rand(),0, 1)</f>
        <v>-1.737723629</v>
      </c>
      <c r="D66" s="75">
        <f t="shared" si="41"/>
        <v>-0.5339317895</v>
      </c>
      <c r="E66" s="76">
        <f t="shared" si="41"/>
        <v>-0.658974228</v>
      </c>
      <c r="F66" s="77">
        <f t="shared" si="41"/>
        <v>0.8179128167</v>
      </c>
      <c r="G66" s="78">
        <f t="shared" si="41"/>
        <v>-0.7654991161</v>
      </c>
      <c r="H66" s="35"/>
      <c r="I66" s="37" t="s">
        <v>16</v>
      </c>
      <c r="J66" s="79">
        <f t="array" ref="J66:N70">MMULT(J60:N64,C66:G70)</f>
        <v>-3.474746844</v>
      </c>
      <c r="K66" s="80">
        <v>-0.4703058322352068</v>
      </c>
      <c r="L66" s="81">
        <v>-0.907940432124059</v>
      </c>
      <c r="M66" s="80">
        <v>2.2788314160497616</v>
      </c>
      <c r="N66" s="82">
        <v>-1.661942744247145</v>
      </c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>
      <c r="A67" s="35"/>
      <c r="B67" s="37" t="s">
        <v>11</v>
      </c>
      <c r="C67" s="83">
        <f t="shared" ref="C67:G67" si="42">NORMINV(rand(),0, 1)</f>
        <v>1.065376106</v>
      </c>
      <c r="D67" s="84">
        <f t="shared" si="42"/>
        <v>-0.4201844846</v>
      </c>
      <c r="E67" s="85">
        <f t="shared" si="42"/>
        <v>0.5664463451</v>
      </c>
      <c r="F67" s="86">
        <f t="shared" si="42"/>
        <v>-1.319447535</v>
      </c>
      <c r="G67" s="87">
        <f t="shared" si="42"/>
        <v>-0.08297394947</v>
      </c>
      <c r="H67" s="35"/>
      <c r="I67" s="37" t="s">
        <v>17</v>
      </c>
      <c r="J67" s="88">
        <v>-1.8941552641837178</v>
      </c>
      <c r="K67" s="89">
        <v>2.350139519265102</v>
      </c>
      <c r="L67" s="90">
        <v>-2.85353991431091</v>
      </c>
      <c r="M67" s="91">
        <v>3.3468207978963367</v>
      </c>
      <c r="N67" s="92">
        <v>4.7701784305150285</v>
      </c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>
      <c r="A68" s="35"/>
      <c r="B68" s="35"/>
      <c r="C68" s="93">
        <f t="shared" ref="C68:G68" si="43">NORMINV(rand(),0, 1)</f>
        <v>0.5438942171</v>
      </c>
      <c r="D68" s="94">
        <f t="shared" si="43"/>
        <v>0.171421877</v>
      </c>
      <c r="E68" s="95">
        <f t="shared" si="43"/>
        <v>0.5448286606</v>
      </c>
      <c r="F68" s="96">
        <f t="shared" si="43"/>
        <v>-0.7473469244</v>
      </c>
      <c r="G68" s="97">
        <f t="shared" si="43"/>
        <v>0.0640539415</v>
      </c>
      <c r="H68" s="48" t="s">
        <v>12</v>
      </c>
      <c r="I68" s="48" t="s">
        <v>12</v>
      </c>
      <c r="J68" s="98">
        <v>2.1940471661226573</v>
      </c>
      <c r="K68" s="99">
        <v>-1.1103756033568037</v>
      </c>
      <c r="L68" s="100">
        <v>2.835044025530273</v>
      </c>
      <c r="M68" s="101">
        <v>0.5925664223502103</v>
      </c>
      <c r="N68" s="102">
        <v>-5.828588997652073</v>
      </c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>
      <c r="A69" s="35"/>
      <c r="B69" s="35"/>
      <c r="C69" s="103">
        <f t="shared" ref="C69:G69" si="44">NORMINV(rand(),0, 1)</f>
        <v>-0.6071840358</v>
      </c>
      <c r="D69" s="104">
        <f t="shared" si="44"/>
        <v>0.2767600961</v>
      </c>
      <c r="E69" s="84">
        <f t="shared" si="44"/>
        <v>-0.5121653278</v>
      </c>
      <c r="F69" s="104">
        <f t="shared" si="44"/>
        <v>1.044156147</v>
      </c>
      <c r="G69" s="105">
        <f t="shared" si="44"/>
        <v>0.4398185785</v>
      </c>
      <c r="H69" s="35"/>
      <c r="I69" s="35"/>
      <c r="J69" s="59">
        <v>9.713868128339607</v>
      </c>
      <c r="K69" s="106">
        <v>0.7847475988592068</v>
      </c>
      <c r="L69" s="107">
        <v>2.469226273632942</v>
      </c>
      <c r="M69" s="108">
        <v>-6.168193981356723</v>
      </c>
      <c r="N69" s="109">
        <v>5.99152478882807</v>
      </c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>
      <c r="A70" s="35"/>
      <c r="B70" s="35"/>
      <c r="C70" s="110">
        <f t="shared" ref="C70:G70" si="45">NORMINV(rand(),0, 1)</f>
        <v>0.4513886427</v>
      </c>
      <c r="D70" s="111">
        <f t="shared" si="45"/>
        <v>0.7289786657</v>
      </c>
      <c r="E70" s="112">
        <f t="shared" si="45"/>
        <v>-0.516695893</v>
      </c>
      <c r="F70" s="113">
        <f t="shared" si="45"/>
        <v>-0.964011417</v>
      </c>
      <c r="G70" s="114">
        <f t="shared" si="45"/>
        <v>2.769556365</v>
      </c>
      <c r="H70" s="35"/>
      <c r="I70" s="35"/>
      <c r="J70" s="115">
        <v>7.595728706558775</v>
      </c>
      <c r="K70" s="116">
        <v>-3.4130218648630226</v>
      </c>
      <c r="L70" s="117">
        <v>6.279702917245002</v>
      </c>
      <c r="M70" s="118">
        <v>-7.860155994357342</v>
      </c>
      <c r="N70" s="119">
        <v>-6.935843816955651</v>
      </c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48" t="s">
        <v>2</v>
      </c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>
      <c r="A72" s="35"/>
      <c r="B72" s="35"/>
      <c r="C72" s="35"/>
      <c r="D72" s="35"/>
      <c r="E72" s="35"/>
      <c r="F72" s="35"/>
      <c r="G72" s="35"/>
      <c r="H72" s="35"/>
      <c r="I72" s="120" t="s">
        <v>18</v>
      </c>
      <c r="J72" s="121">
        <f t="shared" ref="J72:N72" si="46">Max(0,J66)</f>
        <v>0</v>
      </c>
      <c r="K72" s="122">
        <f t="shared" si="46"/>
        <v>0</v>
      </c>
      <c r="L72" s="122">
        <f t="shared" si="46"/>
        <v>0</v>
      </c>
      <c r="M72" s="122">
        <f t="shared" si="46"/>
        <v>2.278831416</v>
      </c>
      <c r="N72" s="123">
        <f t="shared" si="46"/>
        <v>0</v>
      </c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124">
        <f t="shared" ref="J73:N73" si="47">Max(0,J67)</f>
        <v>0</v>
      </c>
      <c r="K73" s="125">
        <f t="shared" si="47"/>
        <v>2.350139519</v>
      </c>
      <c r="L73" s="125">
        <f t="shared" si="47"/>
        <v>0</v>
      </c>
      <c r="M73" s="125">
        <f t="shared" si="47"/>
        <v>3.346820798</v>
      </c>
      <c r="N73" s="126">
        <f t="shared" si="47"/>
        <v>4.770178431</v>
      </c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124">
        <f t="shared" ref="J74:N74" si="48">Max(0,J68)</f>
        <v>2.194047166</v>
      </c>
      <c r="K74" s="125">
        <f t="shared" si="48"/>
        <v>0</v>
      </c>
      <c r="L74" s="125">
        <f t="shared" si="48"/>
        <v>2.835044026</v>
      </c>
      <c r="M74" s="125">
        <f t="shared" si="48"/>
        <v>0.5925664224</v>
      </c>
      <c r="N74" s="126">
        <f t="shared" si="48"/>
        <v>0</v>
      </c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124">
        <f t="shared" ref="J75:N75" si="49">Max(0,J69)</f>
        <v>9.713868128</v>
      </c>
      <c r="K75" s="125">
        <f t="shared" si="49"/>
        <v>0.7847475989</v>
      </c>
      <c r="L75" s="125">
        <f t="shared" si="49"/>
        <v>2.469226274</v>
      </c>
      <c r="M75" s="125">
        <f t="shared" si="49"/>
        <v>0</v>
      </c>
      <c r="N75" s="126">
        <f t="shared" si="49"/>
        <v>5.991524789</v>
      </c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127">
        <f t="shared" ref="J76:N76" si="50">Max(0,J70)</f>
        <v>7.595728707</v>
      </c>
      <c r="K76" s="128">
        <f t="shared" si="50"/>
        <v>0</v>
      </c>
      <c r="L76" s="128">
        <f t="shared" si="50"/>
        <v>6.279702917</v>
      </c>
      <c r="M76" s="128">
        <f t="shared" si="50"/>
        <v>0</v>
      </c>
      <c r="N76" s="129">
        <f t="shared" si="50"/>
        <v>0</v>
      </c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48" t="s">
        <v>2</v>
      </c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>
      <c r="A78" s="35"/>
      <c r="B78" s="35"/>
      <c r="C78" s="35"/>
      <c r="D78" s="35"/>
      <c r="E78" s="35"/>
      <c r="F78" s="35"/>
      <c r="G78" s="35"/>
      <c r="H78" s="35"/>
      <c r="I78" s="37" t="s">
        <v>13</v>
      </c>
      <c r="J78" s="121"/>
      <c r="K78" s="122"/>
      <c r="L78" s="122"/>
      <c r="M78" s="122"/>
      <c r="N78" s="123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>
      <c r="A79" s="35"/>
      <c r="B79" s="35"/>
      <c r="C79" s="35"/>
      <c r="D79" s="35"/>
      <c r="E79" s="35"/>
      <c r="F79" s="35"/>
      <c r="G79" s="35"/>
      <c r="H79" s="35"/>
      <c r="I79" s="35"/>
      <c r="J79" s="124"/>
      <c r="K79" s="125"/>
      <c r="L79" s="125"/>
      <c r="M79" s="125"/>
      <c r="N79" s="126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124"/>
      <c r="K80" s="125"/>
      <c r="L80" s="125"/>
      <c r="M80" s="125"/>
      <c r="N80" s="126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124"/>
      <c r="K81" s="125"/>
      <c r="L81" s="125"/>
      <c r="M81" s="125"/>
      <c r="N81" s="126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127"/>
      <c r="K82" s="128"/>
      <c r="L82" s="128"/>
      <c r="M82" s="128"/>
      <c r="N82" s="129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 t="s">
        <v>19</v>
      </c>
    </row>
    <row r="86"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B87" s="1"/>
      <c r="C87" s="2"/>
      <c r="D87" s="2"/>
      <c r="E87" s="2"/>
      <c r="F87" s="2"/>
      <c r="G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I88" s="4" t="s">
        <v>8</v>
      </c>
      <c r="J88" s="34">
        <f t="shared" ref="J88:N88" si="51">rand()</f>
        <v>0.8799688196</v>
      </c>
      <c r="K88" s="25">
        <f t="shared" si="51"/>
        <v>0.9353823518</v>
      </c>
      <c r="L88" s="25">
        <f t="shared" si="51"/>
        <v>0.3336768877</v>
      </c>
      <c r="M88" s="25">
        <f t="shared" si="51"/>
        <v>0.09263519546</v>
      </c>
      <c r="N88" s="26">
        <f t="shared" si="51"/>
        <v>0.1305232914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I89" s="1"/>
      <c r="J89" s="27">
        <f t="shared" ref="J89:N89" si="52">rand()</f>
        <v>0.01486833538</v>
      </c>
      <c r="K89" s="28">
        <f t="shared" si="52"/>
        <v>0.7515993274</v>
      </c>
      <c r="L89" s="28">
        <f t="shared" si="52"/>
        <v>0.762850689</v>
      </c>
      <c r="M89" s="28">
        <f t="shared" si="52"/>
        <v>0.3693495623</v>
      </c>
      <c r="N89" s="29">
        <f t="shared" si="52"/>
        <v>0.7644348784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I90" s="1"/>
      <c r="J90" s="27">
        <f t="shared" ref="J90:N90" si="53">rand()</f>
        <v>0.3717964382</v>
      </c>
      <c r="K90" s="28">
        <f t="shared" si="53"/>
        <v>0.8879812153</v>
      </c>
      <c r="L90" s="28">
        <f t="shared" si="53"/>
        <v>0.888253035</v>
      </c>
      <c r="M90" s="28">
        <f t="shared" si="53"/>
        <v>0.5420949935</v>
      </c>
      <c r="N90" s="29">
        <f t="shared" si="53"/>
        <v>0.4420766827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I91" s="1"/>
      <c r="J91" s="27">
        <f t="shared" ref="J91:N91" si="54">rand()</f>
        <v>0.5615660702</v>
      </c>
      <c r="K91" s="28">
        <f t="shared" si="54"/>
        <v>0.92613238</v>
      </c>
      <c r="L91" s="28">
        <f t="shared" si="54"/>
        <v>0.3542581428</v>
      </c>
      <c r="M91" s="28">
        <f t="shared" si="54"/>
        <v>0.8787440263</v>
      </c>
      <c r="N91" s="29">
        <f t="shared" si="54"/>
        <v>0.11032245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I92" s="1"/>
      <c r="J92" s="31">
        <f t="shared" ref="J92:N92" si="55">rand()</f>
        <v>0.1828355427</v>
      </c>
      <c r="K92" s="32">
        <f t="shared" si="55"/>
        <v>0.5377033429</v>
      </c>
      <c r="L92" s="32">
        <f t="shared" si="55"/>
        <v>0.7673596964</v>
      </c>
      <c r="M92" s="32">
        <f t="shared" si="55"/>
        <v>0.7216684173</v>
      </c>
      <c r="N92" s="33">
        <f t="shared" si="55"/>
        <v>0.1419730645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B93" s="1"/>
      <c r="C93" s="2"/>
      <c r="D93" s="2"/>
      <c r="E93" s="14"/>
      <c r="F93" s="2"/>
      <c r="G93" s="2"/>
      <c r="I93" s="2"/>
      <c r="J93" s="2"/>
      <c r="K93" s="2"/>
      <c r="L93" s="14" t="s">
        <v>2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B94" s="4" t="s">
        <v>9</v>
      </c>
      <c r="C94" s="34">
        <f t="shared" ref="C94:G94" si="56">rand()</f>
        <v>0.9428937827</v>
      </c>
      <c r="D94" s="25">
        <f t="shared" si="56"/>
        <v>0.9108335789</v>
      </c>
      <c r="E94" s="25">
        <f t="shared" si="56"/>
        <v>0.6691186733</v>
      </c>
      <c r="F94" s="25">
        <f t="shared" si="56"/>
        <v>0.4098044457</v>
      </c>
      <c r="G94" s="26">
        <f t="shared" si="56"/>
        <v>0.3336543974</v>
      </c>
      <c r="I94" s="4" t="s">
        <v>10</v>
      </c>
      <c r="J94" s="5">
        <f t="array" ref="J94:N98">MMULT(J88:N92,C94:G98)</f>
        <v>1.293296972</v>
      </c>
      <c r="K94" s="6">
        <v>1.6608722462077161</v>
      </c>
      <c r="L94" s="6">
        <v>1.0909519150537865</v>
      </c>
      <c r="M94" s="6">
        <v>1.5203943523325238</v>
      </c>
      <c r="N94" s="7">
        <v>0.8767664977102507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B95" s="4" t="s">
        <v>11</v>
      </c>
      <c r="C95" s="27">
        <f t="shared" ref="C95:G95" si="57">rand()</f>
        <v>0.2900803803</v>
      </c>
      <c r="D95" s="28">
        <f t="shared" si="57"/>
        <v>0.4844845742</v>
      </c>
      <c r="E95" s="28">
        <f t="shared" si="57"/>
        <v>0.2187921832</v>
      </c>
      <c r="F95" s="28">
        <f t="shared" si="57"/>
        <v>0.8902153276</v>
      </c>
      <c r="G95" s="29">
        <f t="shared" si="57"/>
        <v>0.3776384946</v>
      </c>
      <c r="I95" s="1"/>
      <c r="J95" s="8">
        <v>0.8603052393421925</v>
      </c>
      <c r="K95" s="9">
        <v>1.8467010752668527</v>
      </c>
      <c r="L95" s="9">
        <v>0.9402226042043826</v>
      </c>
      <c r="M95" s="9">
        <v>1.9181233050755577</v>
      </c>
      <c r="N95" s="10">
        <v>1.2720567325762124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B96" s="1"/>
      <c r="C96" s="27">
        <f t="shared" ref="C96:G96" si="58">rand()</f>
        <v>0.2899265755</v>
      </c>
      <c r="D96" s="28">
        <f t="shared" si="58"/>
        <v>0.6363940597</v>
      </c>
      <c r="E96" s="28">
        <f t="shared" si="58"/>
        <v>0.7927191064</v>
      </c>
      <c r="F96" s="28">
        <f t="shared" si="58"/>
        <v>0.4609478542</v>
      </c>
      <c r="G96" s="29">
        <f t="shared" si="58"/>
        <v>0.2930271446</v>
      </c>
      <c r="H96" s="14" t="s">
        <v>12</v>
      </c>
      <c r="I96" s="14" t="s">
        <v>12</v>
      </c>
      <c r="J96" s="8">
        <v>1.3898588646715868</v>
      </c>
      <c r="K96" s="9">
        <v>2.1906847391416333</v>
      </c>
      <c r="L96" s="9">
        <v>1.3011756778277705</v>
      </c>
      <c r="M96" s="9">
        <v>2.1020689566615767</v>
      </c>
      <c r="N96" s="10">
        <v>1.1860052164195385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B97" s="1"/>
      <c r="C97" s="27">
        <f t="shared" ref="C97:G97" si="59">rand()</f>
        <v>0.8790225376</v>
      </c>
      <c r="D97" s="28">
        <f t="shared" si="59"/>
        <v>0.8759797584</v>
      </c>
      <c r="E97" s="28">
        <f t="shared" si="59"/>
        <v>0.1851279893</v>
      </c>
      <c r="F97" s="28">
        <f t="shared" si="59"/>
        <v>0.7133151421</v>
      </c>
      <c r="G97" s="29">
        <f t="shared" si="59"/>
        <v>0.08213572659</v>
      </c>
      <c r="I97" s="1"/>
      <c r="J97" s="8">
        <v>1.6851900591484972</v>
      </c>
      <c r="K97" s="9">
        <v>2.0506509118983307</v>
      </c>
      <c r="L97" s="9">
        <v>1.0352743902519321</v>
      </c>
      <c r="M97" s="9">
        <v>1.935315826037778</v>
      </c>
      <c r="N97" s="10">
        <v>0.8183606038671127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B98" s="1"/>
      <c r="C98" s="31">
        <f t="shared" ref="C98:G98" si="60">rand()</f>
        <v>0.1078240732</v>
      </c>
      <c r="D98" s="32">
        <f t="shared" si="60"/>
        <v>0.8633879058</v>
      </c>
      <c r="E98" s="32">
        <f t="shared" si="60"/>
        <v>0.1213008589</v>
      </c>
      <c r="F98" s="32">
        <f t="shared" si="60"/>
        <v>0.8213229768</v>
      </c>
      <c r="G98" s="33">
        <f t="shared" si="60"/>
        <v>0.9541561686</v>
      </c>
      <c r="I98" s="1"/>
      <c r="J98" s="11">
        <v>1.2005205731142412</v>
      </c>
      <c r="K98" s="12">
        <v>1.6701296318602006</v>
      </c>
      <c r="L98" s="12">
        <v>0.9991071345515493</v>
      </c>
      <c r="M98" s="12">
        <v>1.5386941308153546</v>
      </c>
      <c r="N98" s="13">
        <v>0.6836578195391064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B99" s="1"/>
      <c r="C99" s="2"/>
      <c r="D99" s="2"/>
      <c r="F99" s="2"/>
      <c r="G99" s="2"/>
      <c r="H99" s="2"/>
      <c r="I99" s="2"/>
      <c r="J99" s="2"/>
      <c r="K99" s="2"/>
      <c r="L99" s="14" t="s">
        <v>2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H100" s="2"/>
      <c r="I100" s="4" t="s">
        <v>13</v>
      </c>
      <c r="J100" s="15"/>
      <c r="K100" s="16"/>
      <c r="L100" s="16"/>
      <c r="M100" s="16"/>
      <c r="N100" s="16"/>
      <c r="O100" s="16"/>
      <c r="P100" s="16"/>
      <c r="Q100" s="16"/>
      <c r="R100" s="16"/>
      <c r="S100" s="17"/>
      <c r="T100" s="2"/>
      <c r="U100" s="2"/>
      <c r="V100" s="2"/>
      <c r="W100" s="2"/>
      <c r="X100" s="2"/>
      <c r="Y100" s="2"/>
      <c r="Z100" s="2"/>
    </row>
    <row r="101">
      <c r="H101" s="2"/>
      <c r="I101" s="1"/>
      <c r="J101" s="18"/>
      <c r="K101" s="2"/>
      <c r="L101" s="2"/>
      <c r="M101" s="2"/>
      <c r="N101" s="2"/>
      <c r="O101" s="2"/>
      <c r="P101" s="2"/>
      <c r="Q101" s="2"/>
      <c r="R101" s="2"/>
      <c r="S101" s="19"/>
      <c r="T101" s="2"/>
      <c r="U101" s="2"/>
      <c r="V101" s="2"/>
      <c r="W101" s="2"/>
      <c r="X101" s="2"/>
      <c r="Y101" s="2"/>
      <c r="Z101" s="2"/>
    </row>
    <row r="102">
      <c r="H102" s="2"/>
      <c r="I102" s="1"/>
      <c r="J102" s="18"/>
      <c r="K102" s="2"/>
      <c r="L102" s="2"/>
      <c r="M102" s="2"/>
      <c r="N102" s="2"/>
      <c r="O102" s="2"/>
      <c r="P102" s="2"/>
      <c r="Q102" s="2"/>
      <c r="R102" s="2"/>
      <c r="S102" s="19"/>
      <c r="T102" s="2"/>
      <c r="U102" s="2"/>
      <c r="V102" s="2"/>
      <c r="W102" s="2"/>
      <c r="X102" s="2"/>
      <c r="Y102" s="2"/>
      <c r="Z102" s="2"/>
    </row>
    <row r="103">
      <c r="H103" s="2"/>
      <c r="I103" s="1"/>
      <c r="J103" s="18"/>
      <c r="K103" s="2"/>
      <c r="L103" s="2"/>
      <c r="M103" s="2"/>
      <c r="N103" s="2"/>
      <c r="O103" s="2"/>
      <c r="P103" s="2"/>
      <c r="Q103" s="2"/>
      <c r="R103" s="2"/>
      <c r="S103" s="19"/>
      <c r="T103" s="2"/>
      <c r="U103" s="2"/>
      <c r="V103" s="2"/>
      <c r="W103" s="2"/>
      <c r="X103" s="2"/>
      <c r="Y103" s="2"/>
      <c r="Z103" s="2"/>
    </row>
    <row r="104">
      <c r="H104" s="2"/>
      <c r="I104" s="1"/>
      <c r="J104" s="21"/>
      <c r="K104" s="22"/>
      <c r="L104" s="22"/>
      <c r="M104" s="22"/>
      <c r="N104" s="22"/>
      <c r="O104" s="22"/>
      <c r="P104" s="22"/>
      <c r="Q104" s="22"/>
      <c r="R104" s="22"/>
      <c r="S104" s="23"/>
      <c r="T104" s="2"/>
      <c r="U104" s="2"/>
      <c r="V104" s="2"/>
      <c r="W104" s="2"/>
      <c r="X104" s="2"/>
      <c r="Y104" s="2"/>
      <c r="Z104" s="2"/>
    </row>
    <row r="105">
      <c r="B105" s="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 t="s">
        <v>20</v>
      </c>
    </row>
    <row r="107"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H109" s="2"/>
      <c r="I109" s="4" t="s">
        <v>8</v>
      </c>
      <c r="J109" s="34">
        <f t="shared" ref="J109:N109" si="61">rand()</f>
        <v>0.3964522319</v>
      </c>
      <c r="K109" s="25">
        <f t="shared" si="61"/>
        <v>0.8144913745</v>
      </c>
      <c r="L109" s="25">
        <f t="shared" si="61"/>
        <v>0.1039573004</v>
      </c>
      <c r="M109" s="25">
        <f t="shared" si="61"/>
        <v>0.6036670487</v>
      </c>
      <c r="N109" s="26">
        <f t="shared" si="61"/>
        <v>0.7731600167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H110" s="2"/>
      <c r="I110" s="1"/>
      <c r="J110" s="27">
        <f t="shared" ref="J110:N110" si="62">rand()</f>
        <v>0.0049204447</v>
      </c>
      <c r="K110" s="28">
        <f t="shared" si="62"/>
        <v>0.6967052588</v>
      </c>
      <c r="L110" s="28">
        <f t="shared" si="62"/>
        <v>0.0002177276362</v>
      </c>
      <c r="M110" s="28">
        <f t="shared" si="62"/>
        <v>0.3244554164</v>
      </c>
      <c r="N110" s="29">
        <f t="shared" si="62"/>
        <v>0.3061263834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H111" s="2"/>
      <c r="I111" s="1"/>
      <c r="J111" s="27">
        <f t="shared" ref="J111:N111" si="63">rand()</f>
        <v>0.8370310733</v>
      </c>
      <c r="K111" s="28">
        <f t="shared" si="63"/>
        <v>0.5783018047</v>
      </c>
      <c r="L111" s="28">
        <f t="shared" si="63"/>
        <v>0.03901900159</v>
      </c>
      <c r="M111" s="28">
        <f t="shared" si="63"/>
        <v>0.3218005951</v>
      </c>
      <c r="N111" s="29">
        <f t="shared" si="63"/>
        <v>0.8518375527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H112" s="2"/>
      <c r="I112" s="1"/>
      <c r="J112" s="27">
        <f t="shared" ref="J112:N112" si="64">rand()</f>
        <v>0.800163569</v>
      </c>
      <c r="K112" s="28">
        <f t="shared" si="64"/>
        <v>0.2327379604</v>
      </c>
      <c r="L112" s="28">
        <f t="shared" si="64"/>
        <v>0.1310271177</v>
      </c>
      <c r="M112" s="28">
        <f t="shared" si="64"/>
        <v>0.8172207372</v>
      </c>
      <c r="N112" s="29">
        <f t="shared" si="64"/>
        <v>0.4574552722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H113" s="2"/>
      <c r="I113" s="1"/>
      <c r="J113" s="31">
        <f t="shared" ref="J113:N113" si="65">rand()</f>
        <v>0.6426285636</v>
      </c>
      <c r="K113" s="32">
        <f t="shared" si="65"/>
        <v>0.81647749</v>
      </c>
      <c r="L113" s="32">
        <f t="shared" si="65"/>
        <v>0.06310119739</v>
      </c>
      <c r="M113" s="32">
        <f t="shared" si="65"/>
        <v>0.5741252019</v>
      </c>
      <c r="N113" s="33">
        <f t="shared" si="65"/>
        <v>0.1877018389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B114" s="1"/>
      <c r="C114" s="2"/>
      <c r="D114" s="2"/>
      <c r="E114" s="14"/>
      <c r="F114" s="2"/>
      <c r="G114" s="2"/>
      <c r="H114" s="2"/>
      <c r="I114" s="1"/>
      <c r="J114" s="2"/>
      <c r="K114" s="2"/>
      <c r="L114" s="14" t="s">
        <v>2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B115" s="4" t="s">
        <v>9</v>
      </c>
      <c r="C115" s="34">
        <f t="shared" ref="C115:G115" si="66">rand()</f>
        <v>0.6697183488</v>
      </c>
      <c r="D115" s="25">
        <f t="shared" si="66"/>
        <v>0.4603105367</v>
      </c>
      <c r="E115" s="25">
        <f t="shared" si="66"/>
        <v>0.1592978324</v>
      </c>
      <c r="F115" s="25">
        <f t="shared" si="66"/>
        <v>0.01321531427</v>
      </c>
      <c r="G115" s="26">
        <f t="shared" si="66"/>
        <v>0.6510734207</v>
      </c>
      <c r="H115" s="2"/>
      <c r="I115" s="4" t="s">
        <v>10</v>
      </c>
      <c r="J115" s="5">
        <f t="array" ref="J115:N119">MMULT(J109:N113,C115:G119)</f>
        <v>0.7861090681</v>
      </c>
      <c r="K115" s="6">
        <v>2.0294035726381567</v>
      </c>
      <c r="L115" s="6">
        <v>1.9802434173149963</v>
      </c>
      <c r="M115" s="6">
        <v>0.8753983283397726</v>
      </c>
      <c r="N115" s="7">
        <v>1.3845780492153406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B116" s="4" t="s">
        <v>11</v>
      </c>
      <c r="C116" s="27">
        <f t="shared" ref="C116:G116" si="67">rand()</f>
        <v>0.05375801863</v>
      </c>
      <c r="D116" s="28">
        <f t="shared" si="67"/>
        <v>0.9266152055</v>
      </c>
      <c r="E116" s="28">
        <f t="shared" si="67"/>
        <v>0.8380224347</v>
      </c>
      <c r="F116" s="28">
        <f t="shared" si="67"/>
        <v>0.000699832383</v>
      </c>
      <c r="G116" s="29">
        <f t="shared" si="67"/>
        <v>0.3615587799</v>
      </c>
      <c r="H116" s="2"/>
      <c r="I116" s="1"/>
      <c r="J116" s="8">
        <v>0.257291206609991</v>
      </c>
      <c r="K116" s="9">
        <v>1.1460728527681558</v>
      </c>
      <c r="L116" s="9">
        <v>1.1128257300520505</v>
      </c>
      <c r="M116" s="9">
        <v>0.37047747232930417</v>
      </c>
      <c r="N116" s="10">
        <v>0.5701319988575706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B117" s="1"/>
      <c r="C117" s="27">
        <f t="shared" ref="C117:G117" si="68">rand()</f>
        <v>0.4246739517</v>
      </c>
      <c r="D117" s="28">
        <f t="shared" si="68"/>
        <v>0.02865184109</v>
      </c>
      <c r="E117" s="28">
        <f t="shared" si="68"/>
        <v>0.95697684</v>
      </c>
      <c r="F117" s="28">
        <f t="shared" si="68"/>
        <v>0.3551732967</v>
      </c>
      <c r="G117" s="29">
        <f t="shared" si="68"/>
        <v>0.5803452034</v>
      </c>
      <c r="H117" s="14" t="s">
        <v>12</v>
      </c>
      <c r="I117" s="14" t="s">
        <v>12</v>
      </c>
      <c r="J117" s="8">
        <v>0.9035512916146041</v>
      </c>
      <c r="K117" s="9">
        <v>1.8532848368918469</v>
      </c>
      <c r="L117" s="9">
        <v>1.5901622842524865</v>
      </c>
      <c r="M117" s="9">
        <v>0.7813582514112938</v>
      </c>
      <c r="N117" s="10">
        <v>1.5891887669736884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B118" s="1"/>
      <c r="C118" s="27">
        <f t="shared" ref="C118:G118" si="69">rand()</f>
        <v>0.5283343367</v>
      </c>
      <c r="D118" s="28">
        <f t="shared" si="69"/>
        <v>0.7837075965</v>
      </c>
      <c r="E118" s="28">
        <f t="shared" si="69"/>
        <v>0.9195873487</v>
      </c>
      <c r="F118" s="28">
        <f t="shared" si="69"/>
        <v>0.4700482021</v>
      </c>
      <c r="G118" s="29">
        <f t="shared" si="69"/>
        <v>0.1097546702</v>
      </c>
      <c r="H118" s="2"/>
      <c r="I118" s="1"/>
      <c r="J118" s="8">
        <v>1.103093731921172</v>
      </c>
      <c r="K118" s="9">
        <v>1.5927352237183015</v>
      </c>
      <c r="L118" s="9">
        <v>1.5425196176616822</v>
      </c>
      <c r="M118" s="9">
        <v>0.7661832554822379</v>
      </c>
      <c r="N118" s="10">
        <v>1.1882036665877542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B119" s="1"/>
      <c r="C119" s="31">
        <f t="shared" ref="C119:G119" si="70">rand()</f>
        <v>0.147092842</v>
      </c>
      <c r="D119" s="32">
        <f t="shared" si="70"/>
        <v>0.7968794395</v>
      </c>
      <c r="E119" s="32">
        <f t="shared" si="70"/>
        <v>0.7500621724</v>
      </c>
      <c r="F119" s="32">
        <f t="shared" si="70"/>
        <v>0.7099611984</v>
      </c>
      <c r="G119" s="33">
        <f t="shared" si="70"/>
        <v>0.9123410641</v>
      </c>
      <c r="H119" s="2"/>
      <c r="I119" s="1"/>
      <c r="J119" s="11">
        <v>0.8320094421695255</v>
      </c>
      <c r="K119" s="12">
        <v>1.6536991399144954</v>
      </c>
      <c r="L119" s="12">
        <v>1.5157284970434295</v>
      </c>
      <c r="M119" s="12">
        <v>0.43460333756121516</v>
      </c>
      <c r="N119" s="13">
        <v>0.984484477150732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H120" s="2"/>
      <c r="I120" s="1"/>
      <c r="J120" s="2"/>
      <c r="K120" s="2"/>
      <c r="L120" s="14" t="s">
        <v>2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H121" s="2"/>
      <c r="I121" s="4" t="s">
        <v>21</v>
      </c>
      <c r="J121" s="153">
        <v>0.5</v>
      </c>
      <c r="K121" s="2"/>
      <c r="L121" s="14" t="s">
        <v>2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H122" s="2"/>
      <c r="I122" s="1"/>
      <c r="J122" s="14" t="s">
        <v>2</v>
      </c>
      <c r="K122" s="2"/>
      <c r="L122" s="14" t="s">
        <v>2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H123" s="2"/>
      <c r="I123" s="4" t="s">
        <v>22</v>
      </c>
      <c r="J123" s="5"/>
      <c r="K123" s="6"/>
      <c r="L123" s="154"/>
      <c r="M123" s="6"/>
      <c r="N123" s="7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H124" s="2"/>
      <c r="I124" s="4" t="s">
        <v>23</v>
      </c>
      <c r="J124" s="8"/>
      <c r="K124" s="9"/>
      <c r="L124" s="155"/>
      <c r="M124" s="9"/>
      <c r="N124" s="10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H125" s="2"/>
      <c r="I125" s="1"/>
      <c r="J125" s="8"/>
      <c r="K125" s="9"/>
      <c r="L125" s="155"/>
      <c r="M125" s="9"/>
      <c r="N125" s="10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H126" s="2"/>
      <c r="I126" s="1"/>
      <c r="J126" s="8"/>
      <c r="K126" s="9"/>
      <c r="L126" s="155"/>
      <c r="M126" s="9"/>
      <c r="N126" s="10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H127" s="2"/>
      <c r="I127" s="1"/>
      <c r="J127" s="11"/>
      <c r="K127" s="12"/>
      <c r="L127" s="156"/>
      <c r="M127" s="12"/>
      <c r="N127" s="13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H128" s="2"/>
      <c r="I128" s="1"/>
      <c r="J128" s="2"/>
      <c r="K128" s="2"/>
      <c r="L128" s="14" t="s">
        <v>2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H129" s="2"/>
      <c r="I129" s="4" t="s">
        <v>13</v>
      </c>
      <c r="J129" s="15"/>
      <c r="K129" s="16"/>
      <c r="L129" s="16"/>
      <c r="M129" s="16"/>
      <c r="N129" s="17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H130" s="2"/>
      <c r="I130" s="1"/>
      <c r="J130" s="18"/>
      <c r="K130" s="2"/>
      <c r="L130" s="2"/>
      <c r="M130" s="2"/>
      <c r="N130" s="19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H131" s="2"/>
      <c r="I131" s="1"/>
      <c r="J131" s="18"/>
      <c r="K131" s="2"/>
      <c r="L131" s="2"/>
      <c r="M131" s="2"/>
      <c r="N131" s="19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H132" s="2"/>
      <c r="I132" s="1"/>
      <c r="J132" s="18"/>
      <c r="K132" s="2"/>
      <c r="L132" s="2"/>
      <c r="M132" s="2"/>
      <c r="N132" s="19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H133" s="2"/>
      <c r="I133" s="1"/>
      <c r="J133" s="21"/>
      <c r="K133" s="22"/>
      <c r="L133" s="22"/>
      <c r="M133" s="22"/>
      <c r="N133" s="23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</sheetData>
  <mergeCells count="6">
    <mergeCell ref="A2:Z2"/>
    <mergeCell ref="A16:Z16"/>
    <mergeCell ref="A31:Z31"/>
    <mergeCell ref="A52:Z52"/>
    <mergeCell ref="A85:Z85"/>
    <mergeCell ref="A106:Z106"/>
  </mergeCells>
  <conditionalFormatting sqref="C4:G8 C10:G14 J10:O14 C18:G22 P21:P25 C24:G28 J24:N28 I34:N38 C40:G44 J40:O44 I46:N51 H51 H53:L55 J78:N82 I87:N92 C94:G98 I94:I95 J94:N98 I97:I98 J100:S104 J109:N113 C115:G119 J115:N119 J123:N127 J129:N133">
    <cfRule type="colorScale" priority="1">
      <colorScale>
        <cfvo type="min"/>
        <cfvo type="max"/>
        <color rgb="FFFFFFFF"/>
        <color rgb="FFFFD666"/>
      </colorScale>
    </cfRule>
  </conditionalFormatting>
  <conditionalFormatting sqref="J72:N76">
    <cfRule type="colorScale" priority="2">
      <colorScale>
        <cfvo type="min"/>
        <cfvo type="max"/>
        <color rgb="FFFFFFFF"/>
        <color rgb="FFFFD666"/>
      </colorScale>
    </cfRule>
  </conditionalFormatting>
  <conditionalFormatting sqref="C60:G64">
    <cfRule type="colorScale" priority="3">
      <colorScale>
        <cfvo type="min"/>
        <cfvo type="max"/>
        <color rgb="FFFFFFFF"/>
        <color rgb="FFFFD666"/>
      </colorScale>
    </cfRule>
  </conditionalFormatting>
  <conditionalFormatting sqref="C66:G70">
    <cfRule type="colorScale" priority="4">
      <colorScale>
        <cfvo type="min"/>
        <cfvo type="max"/>
        <color rgb="FFFFFFFF"/>
        <color rgb="FFFFD666"/>
      </colorScale>
    </cfRule>
  </conditionalFormatting>
  <conditionalFormatting sqref="J66:N70">
    <cfRule type="colorScale" priority="5">
      <colorScale>
        <cfvo type="min"/>
        <cfvo type="max"/>
        <color rgb="FFFFFFFF"/>
        <color rgb="FFFFD666"/>
      </colorScale>
    </cfRule>
  </conditionalFormatting>
  <conditionalFormatting sqref="J60:N64">
    <cfRule type="colorScale" priority="6">
      <colorScale>
        <cfvo type="min"/>
        <cfvo type="max"/>
        <color rgb="FFFFFFFF"/>
        <color rgb="FFFFD666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</row>
    <row r="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B4" s="4" t="s">
        <v>1</v>
      </c>
      <c r="C4" s="5">
        <f t="shared" ref="C4:G4" si="1">rand()</f>
        <v>0.4181579518</v>
      </c>
      <c r="D4" s="6">
        <f t="shared" si="1"/>
        <v>0.6129945204</v>
      </c>
      <c r="E4" s="6">
        <f t="shared" si="1"/>
        <v>0.1212379813</v>
      </c>
      <c r="F4" s="6">
        <f t="shared" si="1"/>
        <v>0.7132675785</v>
      </c>
      <c r="G4" s="7">
        <f t="shared" si="1"/>
        <v>0.8762648562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B5" s="1"/>
      <c r="C5" s="8">
        <f t="shared" ref="C5:G5" si="2">rand()</f>
        <v>0.4834616638</v>
      </c>
      <c r="D5" s="9">
        <f t="shared" si="2"/>
        <v>0.01275292039</v>
      </c>
      <c r="E5" s="9">
        <f t="shared" si="2"/>
        <v>0.2695783816</v>
      </c>
      <c r="F5" s="9">
        <f t="shared" si="2"/>
        <v>0.1068066194</v>
      </c>
      <c r="G5" s="10">
        <f t="shared" si="2"/>
        <v>0.5465983667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B6" s="1"/>
      <c r="C6" s="8">
        <f t="shared" ref="C6:G6" si="3">rand()</f>
        <v>0.6296312421</v>
      </c>
      <c r="D6" s="9">
        <f t="shared" si="3"/>
        <v>0.3642802322</v>
      </c>
      <c r="E6" s="9">
        <f t="shared" si="3"/>
        <v>0.6620200411</v>
      </c>
      <c r="F6" s="9">
        <f t="shared" si="3"/>
        <v>0.9891295989</v>
      </c>
      <c r="G6" s="10">
        <f t="shared" si="3"/>
        <v>0.9588500837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B7" s="1"/>
      <c r="C7" s="8">
        <f t="shared" ref="C7:G7" si="4">rand()</f>
        <v>0.1545806982</v>
      </c>
      <c r="D7" s="9">
        <f t="shared" si="4"/>
        <v>0.2360419512</v>
      </c>
      <c r="E7" s="9">
        <f t="shared" si="4"/>
        <v>0.1012362429</v>
      </c>
      <c r="F7" s="9">
        <f t="shared" si="4"/>
        <v>0.6795909627</v>
      </c>
      <c r="G7" s="10">
        <f t="shared" si="4"/>
        <v>0.9661443449</v>
      </c>
      <c r="H7" s="2"/>
      <c r="I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B8" s="1"/>
      <c r="C8" s="11">
        <f t="shared" ref="C8:G8" si="5">rand()</f>
        <v>0.1626655869</v>
      </c>
      <c r="D8" s="12">
        <f t="shared" si="5"/>
        <v>0.1765912751</v>
      </c>
      <c r="E8" s="12">
        <f t="shared" si="5"/>
        <v>0.9702985307</v>
      </c>
      <c r="F8" s="12">
        <f t="shared" si="5"/>
        <v>0.5835498013</v>
      </c>
      <c r="G8" s="13">
        <f t="shared" si="5"/>
        <v>0.720238143</v>
      </c>
      <c r="H8" s="2"/>
      <c r="I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B9" s="1"/>
      <c r="C9" s="2"/>
      <c r="D9" s="2"/>
      <c r="E9" s="14" t="s">
        <v>2</v>
      </c>
      <c r="F9" s="2"/>
      <c r="G9" s="2"/>
      <c r="H9" s="2"/>
      <c r="I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B10" s="4" t="s">
        <v>3</v>
      </c>
      <c r="C10" s="5">
        <f t="shared" ref="C10:G10" si="6">C4+J10</f>
        <v>0.4627408643</v>
      </c>
      <c r="D10" s="6">
        <f t="shared" si="6"/>
        <v>1.140972977</v>
      </c>
      <c r="E10" s="6">
        <f t="shared" si="6"/>
        <v>0.7917682176</v>
      </c>
      <c r="F10" s="6">
        <f t="shared" si="6"/>
        <v>0.9676381519</v>
      </c>
      <c r="G10" s="7">
        <f t="shared" si="6"/>
        <v>1.177453507</v>
      </c>
      <c r="H10" s="2"/>
      <c r="I10" s="4" t="s">
        <v>4</v>
      </c>
      <c r="J10" s="5">
        <f t="shared" ref="J10:N10" si="7">rand()</f>
        <v>0.04458291251</v>
      </c>
      <c r="K10" s="6">
        <f t="shared" si="7"/>
        <v>0.5279784567</v>
      </c>
      <c r="L10" s="6">
        <f t="shared" si="7"/>
        <v>0.6705302363</v>
      </c>
      <c r="M10" s="6">
        <f t="shared" si="7"/>
        <v>0.2543705734</v>
      </c>
      <c r="N10" s="7">
        <f t="shared" si="7"/>
        <v>0.3011886506</v>
      </c>
      <c r="P10" s="2"/>
      <c r="Q10" s="2"/>
      <c r="R10" s="2"/>
      <c r="Y10" s="2"/>
      <c r="Z10" s="2"/>
    </row>
    <row r="11">
      <c r="B11" s="1"/>
      <c r="C11" s="8">
        <f t="shared" ref="C11:G11" si="8">C5+J11</f>
        <v>1.224900504</v>
      </c>
      <c r="D11" s="9">
        <f t="shared" si="8"/>
        <v>0.06200733782</v>
      </c>
      <c r="E11" s="9">
        <f t="shared" si="8"/>
        <v>0.6163767442</v>
      </c>
      <c r="F11" s="9">
        <f t="shared" si="8"/>
        <v>0.2090786459</v>
      </c>
      <c r="G11" s="10">
        <f t="shared" si="8"/>
        <v>0.7274089526</v>
      </c>
      <c r="H11" s="2"/>
      <c r="I11" s="1"/>
      <c r="J11" s="8">
        <f t="shared" ref="J11:N11" si="9">rand()</f>
        <v>0.7414388402</v>
      </c>
      <c r="K11" s="9">
        <f t="shared" si="9"/>
        <v>0.04925441743</v>
      </c>
      <c r="L11" s="9">
        <f t="shared" si="9"/>
        <v>0.3467983627</v>
      </c>
      <c r="M11" s="9">
        <f t="shared" si="9"/>
        <v>0.1022720266</v>
      </c>
      <c r="N11" s="10">
        <f t="shared" si="9"/>
        <v>0.1808105859</v>
      </c>
      <c r="P11" s="2"/>
      <c r="Q11" s="2"/>
      <c r="R11" s="2"/>
      <c r="Y11" s="2"/>
      <c r="Z11" s="2"/>
    </row>
    <row r="12">
      <c r="B12" s="1"/>
      <c r="C12" s="8">
        <f t="shared" ref="C12:G12" si="10">C6+J12</f>
        <v>1.121740528</v>
      </c>
      <c r="D12" s="9">
        <f t="shared" si="10"/>
        <v>0.4785698752</v>
      </c>
      <c r="E12" s="9">
        <f t="shared" si="10"/>
        <v>0.9980806362</v>
      </c>
      <c r="F12" s="9">
        <f t="shared" si="10"/>
        <v>1.948194567</v>
      </c>
      <c r="G12" s="10">
        <f t="shared" si="10"/>
        <v>1.66957215</v>
      </c>
      <c r="H12" s="20" t="s">
        <v>5</v>
      </c>
      <c r="I12" s="20" t="s">
        <v>5</v>
      </c>
      <c r="J12" s="8">
        <f t="shared" ref="J12:N12" si="11">rand()</f>
        <v>0.4921092854</v>
      </c>
      <c r="K12" s="9">
        <f t="shared" si="11"/>
        <v>0.114289643</v>
      </c>
      <c r="L12" s="9">
        <f t="shared" si="11"/>
        <v>0.3360605951</v>
      </c>
      <c r="M12" s="9">
        <f t="shared" si="11"/>
        <v>0.9590649686</v>
      </c>
      <c r="N12" s="10">
        <f t="shared" si="11"/>
        <v>0.7107220659</v>
      </c>
      <c r="P12" s="2"/>
      <c r="Q12" s="2"/>
      <c r="R12" s="2"/>
      <c r="Y12" s="2"/>
      <c r="Z12" s="2"/>
    </row>
    <row r="13">
      <c r="B13" s="1"/>
      <c r="C13" s="8">
        <f t="shared" ref="C13:G13" si="12">C7+J13</f>
        <v>0.3692562</v>
      </c>
      <c r="D13" s="9">
        <f t="shared" si="12"/>
        <v>0.2860323675</v>
      </c>
      <c r="E13" s="9">
        <f t="shared" si="12"/>
        <v>0.6655853469</v>
      </c>
      <c r="F13" s="9">
        <f t="shared" si="12"/>
        <v>1.590888195</v>
      </c>
      <c r="G13" s="10">
        <f t="shared" si="12"/>
        <v>1.499495812</v>
      </c>
      <c r="H13" s="2"/>
      <c r="I13" s="1"/>
      <c r="J13" s="8">
        <f t="shared" ref="J13:N13" si="13">rand()</f>
        <v>0.2146755018</v>
      </c>
      <c r="K13" s="9">
        <f t="shared" si="13"/>
        <v>0.0499904163</v>
      </c>
      <c r="L13" s="9">
        <f t="shared" si="13"/>
        <v>0.564349104</v>
      </c>
      <c r="M13" s="9">
        <f t="shared" si="13"/>
        <v>0.9112972323</v>
      </c>
      <c r="N13" s="10">
        <f t="shared" si="13"/>
        <v>0.5333514673</v>
      </c>
      <c r="P13" s="2"/>
      <c r="Q13" s="2"/>
      <c r="R13" s="2"/>
      <c r="Y13" s="2"/>
      <c r="Z13" s="2"/>
    </row>
    <row r="14">
      <c r="B14" s="1"/>
      <c r="C14" s="11">
        <f t="shared" ref="C14:G14" si="14">C8+J14</f>
        <v>0.7833309636</v>
      </c>
      <c r="D14" s="12">
        <f t="shared" si="14"/>
        <v>0.5040093187</v>
      </c>
      <c r="E14" s="12">
        <f t="shared" si="14"/>
        <v>1.434834483</v>
      </c>
      <c r="F14" s="12">
        <f t="shared" si="14"/>
        <v>0.8622689106</v>
      </c>
      <c r="G14" s="13">
        <f t="shared" si="14"/>
        <v>0.9211741971</v>
      </c>
      <c r="H14" s="2"/>
      <c r="I14" s="1"/>
      <c r="J14" s="11">
        <f t="shared" ref="J14:N14" si="15">rand()</f>
        <v>0.6206653768</v>
      </c>
      <c r="K14" s="12">
        <f t="shared" si="15"/>
        <v>0.3274180436</v>
      </c>
      <c r="L14" s="12">
        <f t="shared" si="15"/>
        <v>0.4645359519</v>
      </c>
      <c r="M14" s="12">
        <f t="shared" si="15"/>
        <v>0.2787191093</v>
      </c>
      <c r="N14" s="13">
        <f t="shared" si="15"/>
        <v>0.2009360541</v>
      </c>
      <c r="P14" s="2"/>
      <c r="Q14" s="2"/>
      <c r="R14" s="2"/>
      <c r="Y14" s="2"/>
      <c r="Z14" s="2"/>
    </row>
    <row r="15"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6</v>
      </c>
    </row>
    <row r="17">
      <c r="B17" s="1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B18" s="4" t="s">
        <v>1</v>
      </c>
      <c r="C18" s="5">
        <f t="shared" ref="C18:G18" si="16">rand()</f>
        <v>0.02486388956</v>
      </c>
      <c r="D18" s="6">
        <f t="shared" si="16"/>
        <v>0.5661749641</v>
      </c>
      <c r="E18" s="6">
        <f t="shared" si="16"/>
        <v>0.9270000729</v>
      </c>
      <c r="F18" s="6">
        <f t="shared" si="16"/>
        <v>0.2254023953</v>
      </c>
      <c r="G18" s="7">
        <f t="shared" si="16"/>
        <v>0.3305193508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B19" s="1"/>
      <c r="C19" s="8">
        <f t="shared" ref="C19:G19" si="17">rand()</f>
        <v>0.6416508075</v>
      </c>
      <c r="D19" s="9">
        <f t="shared" si="17"/>
        <v>0.5243153144</v>
      </c>
      <c r="E19" s="9">
        <f t="shared" si="17"/>
        <v>0.2821595929</v>
      </c>
      <c r="F19" s="9">
        <f t="shared" si="17"/>
        <v>0.09338058629</v>
      </c>
      <c r="G19" s="10">
        <f t="shared" si="17"/>
        <v>0.001162729647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B20" s="1"/>
      <c r="C20" s="8">
        <f t="shared" ref="C20:G20" si="18">rand()</f>
        <v>0.6098117491</v>
      </c>
      <c r="D20" s="9">
        <f t="shared" si="18"/>
        <v>0.3304281535</v>
      </c>
      <c r="E20" s="9">
        <f t="shared" si="18"/>
        <v>0.8957378457</v>
      </c>
      <c r="F20" s="9">
        <f t="shared" si="18"/>
        <v>0.9753264639</v>
      </c>
      <c r="G20" s="10">
        <f t="shared" si="18"/>
        <v>0.02757032297</v>
      </c>
      <c r="H20" s="2"/>
      <c r="I20" s="2"/>
      <c r="J20" s="2"/>
      <c r="K20" s="2"/>
      <c r="L20" s="2"/>
      <c r="M20" s="2"/>
      <c r="N20" s="2"/>
      <c r="O20" s="2"/>
      <c r="P20" s="2"/>
      <c r="W20" s="2"/>
      <c r="X20" s="2"/>
      <c r="Y20" s="2"/>
      <c r="Z20" s="2"/>
    </row>
    <row r="21">
      <c r="B21" s="1"/>
      <c r="C21" s="8">
        <f t="shared" ref="C21:G21" si="19">rand()</f>
        <v>0.9567288022</v>
      </c>
      <c r="D21" s="9">
        <f t="shared" si="19"/>
        <v>0.2398616374</v>
      </c>
      <c r="E21" s="9">
        <f t="shared" si="19"/>
        <v>0.5341345352</v>
      </c>
      <c r="F21" s="9">
        <f t="shared" si="19"/>
        <v>0.5435623998</v>
      </c>
      <c r="G21" s="10">
        <f t="shared" si="19"/>
        <v>0.1821960641</v>
      </c>
      <c r="H21" s="2"/>
      <c r="I21" s="2"/>
      <c r="W21" s="2"/>
      <c r="X21" s="2"/>
      <c r="Y21" s="2"/>
      <c r="Z21" s="2"/>
    </row>
    <row r="22">
      <c r="B22" s="1"/>
      <c r="C22" s="11">
        <f t="shared" ref="C22:G22" si="20">rand()</f>
        <v>0.9705345021</v>
      </c>
      <c r="D22" s="12">
        <f t="shared" si="20"/>
        <v>0.7969060331</v>
      </c>
      <c r="E22" s="12">
        <f t="shared" si="20"/>
        <v>0.5680867659</v>
      </c>
      <c r="F22" s="12">
        <f t="shared" si="20"/>
        <v>0.7105967633</v>
      </c>
      <c r="G22" s="13">
        <f t="shared" si="20"/>
        <v>0.4293608797</v>
      </c>
      <c r="H22" s="2"/>
      <c r="I22" s="2"/>
      <c r="W22" s="2"/>
      <c r="X22" s="2"/>
      <c r="Y22" s="2"/>
      <c r="Z22" s="2"/>
    </row>
    <row r="23">
      <c r="B23" s="1"/>
      <c r="C23" s="2"/>
      <c r="D23" s="2"/>
      <c r="E23" s="14" t="s">
        <v>2</v>
      </c>
      <c r="F23" s="2"/>
      <c r="G23" s="2"/>
      <c r="H23" s="2"/>
      <c r="I23" s="2"/>
      <c r="W23" s="2"/>
      <c r="X23" s="2"/>
      <c r="Y23" s="2"/>
      <c r="Z23" s="2"/>
    </row>
    <row r="24">
      <c r="B24" s="4" t="s">
        <v>3</v>
      </c>
      <c r="C24" s="34">
        <f t="array" ref="C24:G28">C18:G22 + J24:N28</f>
        <v>0.07519827837</v>
      </c>
      <c r="D24" s="25">
        <v>0.8571039905946238</v>
      </c>
      <c r="E24" s="25">
        <v>1.907607298392779</v>
      </c>
      <c r="F24" s="25">
        <v>0.7396668566946708</v>
      </c>
      <c r="G24" s="26">
        <v>1.21756902700571</v>
      </c>
      <c r="H24" s="2"/>
      <c r="I24" s="4" t="s">
        <v>4</v>
      </c>
      <c r="J24" s="5">
        <f t="shared" ref="J24:N24" si="21">rand()</f>
        <v>0.05033438881</v>
      </c>
      <c r="K24" s="6">
        <f t="shared" si="21"/>
        <v>0.2909290265</v>
      </c>
      <c r="L24" s="6">
        <f t="shared" si="21"/>
        <v>0.9806072255</v>
      </c>
      <c r="M24" s="6">
        <f t="shared" si="21"/>
        <v>0.5142644614</v>
      </c>
      <c r="N24" s="7">
        <f t="shared" si="21"/>
        <v>0.8870496762</v>
      </c>
      <c r="W24" s="2"/>
      <c r="X24" s="2"/>
      <c r="Y24" s="2"/>
      <c r="Z24" s="2"/>
    </row>
    <row r="25">
      <c r="B25" s="1"/>
      <c r="C25" s="27">
        <v>0.6811619412802895</v>
      </c>
      <c r="D25" s="28">
        <v>1.0541047432994934</v>
      </c>
      <c r="E25" s="28">
        <v>0.308842827235009</v>
      </c>
      <c r="F25" s="28">
        <v>0.38384255816972734</v>
      </c>
      <c r="G25" s="29">
        <v>0.07658311022710629</v>
      </c>
      <c r="H25" s="2"/>
      <c r="I25" s="1"/>
      <c r="J25" s="8">
        <f t="shared" ref="J25:N25" si="22">rand()</f>
        <v>0.03951113376</v>
      </c>
      <c r="K25" s="9">
        <f t="shared" si="22"/>
        <v>0.5297894289</v>
      </c>
      <c r="L25" s="9">
        <f t="shared" si="22"/>
        <v>0.02668323437</v>
      </c>
      <c r="M25" s="9">
        <f t="shared" si="22"/>
        <v>0.2904619719</v>
      </c>
      <c r="N25" s="10">
        <f t="shared" si="22"/>
        <v>0.07542038058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B26" s="1"/>
      <c r="C26" s="27">
        <v>0.8500370917946753</v>
      </c>
      <c r="D26" s="28">
        <v>0.8842915103456099</v>
      </c>
      <c r="E26" s="28">
        <v>1.8903080814533877</v>
      </c>
      <c r="F26" s="28">
        <v>1.0581643572310653</v>
      </c>
      <c r="G26" s="29">
        <v>0.5024830630786364</v>
      </c>
      <c r="H26" s="30" t="s">
        <v>5</v>
      </c>
      <c r="I26" s="30" t="s">
        <v>5</v>
      </c>
      <c r="J26" s="8">
        <f t="shared" ref="J26:N26" si="23">rand()</f>
        <v>0.2402253427</v>
      </c>
      <c r="K26" s="9">
        <f t="shared" si="23"/>
        <v>0.5538633568</v>
      </c>
      <c r="L26" s="9">
        <f t="shared" si="23"/>
        <v>0.9945702358</v>
      </c>
      <c r="M26" s="9">
        <f t="shared" si="23"/>
        <v>0.08283789333</v>
      </c>
      <c r="N26" s="10">
        <f t="shared" si="23"/>
        <v>0.4749127401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B27" s="1"/>
      <c r="C27" s="27">
        <v>0.984069331951838</v>
      </c>
      <c r="D27" s="28">
        <v>0.9057003676088098</v>
      </c>
      <c r="E27" s="28">
        <v>1.389769122973679</v>
      </c>
      <c r="F27" s="28">
        <v>1.1657077985704427</v>
      </c>
      <c r="G27" s="29">
        <v>0.6268702016932186</v>
      </c>
      <c r="H27" s="2"/>
      <c r="I27" s="1"/>
      <c r="J27" s="8">
        <f t="shared" ref="J27:N27" si="24">rand()</f>
        <v>0.02734052974</v>
      </c>
      <c r="K27" s="9">
        <f t="shared" si="24"/>
        <v>0.6658387302</v>
      </c>
      <c r="L27" s="9">
        <f t="shared" si="24"/>
        <v>0.8556345878</v>
      </c>
      <c r="M27" s="9">
        <f t="shared" si="24"/>
        <v>0.6221453988</v>
      </c>
      <c r="N27" s="10">
        <f t="shared" si="24"/>
        <v>0.4446741376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B28" s="1"/>
      <c r="C28" s="31">
        <v>1.8800995356120584</v>
      </c>
      <c r="D28" s="32">
        <v>1.107484268636655</v>
      </c>
      <c r="E28" s="32">
        <v>1.1916181608427756</v>
      </c>
      <c r="F28" s="32">
        <v>1.4900114308316894</v>
      </c>
      <c r="G28" s="33">
        <v>1.1858080505373727</v>
      </c>
      <c r="H28" s="2"/>
      <c r="I28" s="1"/>
      <c r="J28" s="11">
        <f t="shared" ref="J28:N28" si="25">rand()</f>
        <v>0.9095650335</v>
      </c>
      <c r="K28" s="12">
        <f t="shared" si="25"/>
        <v>0.3105782356</v>
      </c>
      <c r="L28" s="12">
        <f t="shared" si="25"/>
        <v>0.6235313949</v>
      </c>
      <c r="M28" s="12">
        <f t="shared" si="25"/>
        <v>0.7794146675</v>
      </c>
      <c r="N28" s="13">
        <f t="shared" si="25"/>
        <v>0.7564471708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B30" s="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7</v>
      </c>
    </row>
    <row r="32">
      <c r="B32" s="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B33" s="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I34" s="4" t="s">
        <v>8</v>
      </c>
      <c r="J34" s="34">
        <f t="shared" ref="J34:N34" si="26">rand()</f>
        <v>0.09999774057</v>
      </c>
      <c r="K34" s="25">
        <f t="shared" si="26"/>
        <v>0.3806677909</v>
      </c>
      <c r="L34" s="25">
        <f t="shared" si="26"/>
        <v>0.02983165301</v>
      </c>
      <c r="M34" s="25">
        <f t="shared" si="26"/>
        <v>0.6420322808</v>
      </c>
      <c r="N34" s="26">
        <f t="shared" si="26"/>
        <v>0.4969358986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I35" s="1"/>
      <c r="J35" s="27">
        <f t="shared" ref="J35:N35" si="27">rand()</f>
        <v>0.5669862855</v>
      </c>
      <c r="K35" s="28">
        <f t="shared" si="27"/>
        <v>0.1221082727</v>
      </c>
      <c r="L35" s="28">
        <f t="shared" si="27"/>
        <v>0.4274724578</v>
      </c>
      <c r="M35" s="28">
        <f t="shared" si="27"/>
        <v>0.6706913773</v>
      </c>
      <c r="N35" s="29">
        <f t="shared" si="27"/>
        <v>0.8946152248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I36" s="1"/>
      <c r="J36" s="27">
        <f t="shared" ref="J36:N36" si="28">rand()</f>
        <v>0.001391090465</v>
      </c>
      <c r="K36" s="28">
        <f t="shared" si="28"/>
        <v>0.4590264829</v>
      </c>
      <c r="L36" s="28">
        <f t="shared" si="28"/>
        <v>0.2047625667</v>
      </c>
      <c r="M36" s="28">
        <f t="shared" si="28"/>
        <v>0.1056088079</v>
      </c>
      <c r="N36" s="29">
        <f t="shared" si="28"/>
        <v>0.2592078802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I37" s="1"/>
      <c r="J37" s="27">
        <f t="shared" ref="J37:N37" si="29">rand()</f>
        <v>0.6325574641</v>
      </c>
      <c r="K37" s="28">
        <f t="shared" si="29"/>
        <v>0.4403896</v>
      </c>
      <c r="L37" s="28">
        <f t="shared" si="29"/>
        <v>0.1644861292</v>
      </c>
      <c r="M37" s="28">
        <f t="shared" si="29"/>
        <v>0.7009934635</v>
      </c>
      <c r="N37" s="29">
        <f t="shared" si="29"/>
        <v>0.445532243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I38" s="1"/>
      <c r="J38" s="31">
        <f t="shared" ref="J38:N38" si="30">rand()</f>
        <v>0.4021685996</v>
      </c>
      <c r="K38" s="32">
        <f t="shared" si="30"/>
        <v>0.7096413002</v>
      </c>
      <c r="L38" s="32">
        <f t="shared" si="30"/>
        <v>0.1279466531</v>
      </c>
      <c r="M38" s="32">
        <f t="shared" si="30"/>
        <v>0.623023981</v>
      </c>
      <c r="N38" s="33">
        <f t="shared" si="30"/>
        <v>0.7934110604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B39" s="1"/>
      <c r="C39" s="2"/>
      <c r="D39" s="2"/>
      <c r="E39" s="14"/>
      <c r="F39" s="2"/>
      <c r="G39" s="2"/>
      <c r="H39" s="2"/>
      <c r="I39" s="2"/>
      <c r="J39" s="2"/>
      <c r="K39" s="2"/>
      <c r="L39" s="14" t="s">
        <v>2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B40" s="4" t="s">
        <v>9</v>
      </c>
      <c r="C40" s="34">
        <f t="shared" ref="C40:G40" si="31">rand()</f>
        <v>0.0162779179</v>
      </c>
      <c r="D40" s="25">
        <f t="shared" si="31"/>
        <v>0.08417246155</v>
      </c>
      <c r="E40" s="25">
        <f t="shared" si="31"/>
        <v>0.9507909047</v>
      </c>
      <c r="F40" s="25">
        <f t="shared" si="31"/>
        <v>0.05277591974</v>
      </c>
      <c r="G40" s="26">
        <f t="shared" si="31"/>
        <v>0.8364442889</v>
      </c>
      <c r="H40" s="2"/>
      <c r="I40" s="4" t="s">
        <v>10</v>
      </c>
      <c r="J40" s="5">
        <f t="array" ref="J40:N44">MMULT(J34:N38,C40:G44)</f>
        <v>0.2126140757</v>
      </c>
      <c r="K40" s="6">
        <v>0.3684079104885218</v>
      </c>
      <c r="L40" s="6">
        <v>0.9070278275316763</v>
      </c>
      <c r="M40" s="6">
        <v>0.3158883963266623</v>
      </c>
      <c r="N40" s="7">
        <v>1.359154910119734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B41" s="4" t="s">
        <v>11</v>
      </c>
      <c r="C41" s="27">
        <f t="shared" ref="C41:G41" si="32">rand()</f>
        <v>0.01867915497</v>
      </c>
      <c r="D41" s="28">
        <f t="shared" si="32"/>
        <v>0.6412695576</v>
      </c>
      <c r="E41" s="28">
        <f t="shared" si="32"/>
        <v>0.4655260636</v>
      </c>
      <c r="F41" s="28">
        <f t="shared" si="32"/>
        <v>0.5163756195</v>
      </c>
      <c r="G41" s="29">
        <f t="shared" si="32"/>
        <v>0.6950685139</v>
      </c>
      <c r="H41" s="2"/>
      <c r="I41" s="1"/>
      <c r="J41" s="8">
        <v>0.41416254912927175</v>
      </c>
      <c r="K41" s="9">
        <v>0.37440886180108396</v>
      </c>
      <c r="L41" s="9">
        <v>1.5372967371609438</v>
      </c>
      <c r="M41" s="9">
        <v>0.39336909521538</v>
      </c>
      <c r="N41" s="10">
        <v>2.066831634937093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B42" s="1"/>
      <c r="C42" s="27">
        <f t="shared" ref="C42:G42" si="33">rand()</f>
        <v>0.2979815519</v>
      </c>
      <c r="D42" s="28">
        <f t="shared" si="33"/>
        <v>0.1951641443</v>
      </c>
      <c r="E42" s="28">
        <f t="shared" si="33"/>
        <v>0.4826894112</v>
      </c>
      <c r="F42" s="28">
        <f t="shared" si="33"/>
        <v>0.3996831216</v>
      </c>
      <c r="G42" s="29">
        <f t="shared" si="33"/>
        <v>0.3383347911</v>
      </c>
      <c r="H42" s="14" t="s">
        <v>12</v>
      </c>
      <c r="I42" s="14" t="s">
        <v>12</v>
      </c>
      <c r="J42" s="8">
        <v>0.1355173118674956</v>
      </c>
      <c r="K42" s="9">
        <v>0.3761649219996243</v>
      </c>
      <c r="L42" s="9">
        <v>0.45700596938481336</v>
      </c>
      <c r="M42" s="9">
        <v>0.3465455561556111</v>
      </c>
      <c r="N42" s="10">
        <v>0.7042146432854717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B43" s="1"/>
      <c r="C43" s="27">
        <f t="shared" ref="C43:G43" si="34">rand()</f>
        <v>0.1561491979</v>
      </c>
      <c r="D43" s="28">
        <f t="shared" si="34"/>
        <v>0.06839517501</v>
      </c>
      <c r="E43" s="28">
        <f t="shared" si="34"/>
        <v>0.7868852607</v>
      </c>
      <c r="F43" s="28">
        <f t="shared" si="34"/>
        <v>0.1119367685</v>
      </c>
      <c r="G43" s="29">
        <f t="shared" si="34"/>
        <v>0.9042394476</v>
      </c>
      <c r="H43" s="2"/>
      <c r="I43" s="1"/>
      <c r="J43" s="8">
        <v>0.2619305179313865</v>
      </c>
      <c r="K43" s="9">
        <v>0.4750026929250433</v>
      </c>
      <c r="L43" s="9">
        <v>1.5406651037939594</v>
      </c>
      <c r="M43" s="9">
        <v>0.4321232367312924</v>
      </c>
      <c r="N43" s="10">
        <v>1.9015214327552954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B44" s="1"/>
      <c r="C44" s="31">
        <f t="shared" ref="C44:G44" si="35">rand()</f>
        <v>0.1906355737</v>
      </c>
      <c r="D44" s="32">
        <f t="shared" si="35"/>
        <v>0.1331081325</v>
      </c>
      <c r="E44" s="32">
        <f t="shared" si="35"/>
        <v>0.2316897325</v>
      </c>
      <c r="F44" s="32">
        <f t="shared" si="35"/>
        <v>0.06087934144</v>
      </c>
      <c r="G44" s="33">
        <f t="shared" si="35"/>
        <v>0.8457392103</v>
      </c>
      <c r="H44" s="2"/>
      <c r="I44" s="1"/>
      <c r="J44" s="11">
        <v>0.3064647771119188</v>
      </c>
      <c r="K44" s="12">
        <v>0.6621147814485341</v>
      </c>
      <c r="L44" s="12">
        <v>1.448566846384023</v>
      </c>
      <c r="M44" s="12">
        <v>0.5568460354685053</v>
      </c>
      <c r="N44" s="13">
        <v>2.1073114604266086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B45" s="1"/>
      <c r="C45" s="2"/>
      <c r="D45" s="2"/>
      <c r="F45" s="2"/>
      <c r="G45" s="2"/>
      <c r="I45" s="1"/>
      <c r="J45" s="2"/>
      <c r="K45" s="2"/>
      <c r="L45" s="14" t="s">
        <v>2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I46" s="4" t="s">
        <v>13</v>
      </c>
      <c r="J46" s="5">
        <f t="array" ref="J46:N50">J40:N44+ J34:N38</f>
        <v>0.3126118163</v>
      </c>
      <c r="K46" s="6">
        <v>0.7490757013457576</v>
      </c>
      <c r="L46" s="6">
        <v>0.9368594805437597</v>
      </c>
      <c r="M46" s="6">
        <v>0.9579206771632801</v>
      </c>
      <c r="N46" s="7">
        <v>1.856090808699986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I47" s="1"/>
      <c r="J47" s="8">
        <v>0.9811488346191429</v>
      </c>
      <c r="K47" s="9">
        <v>0.4965171345465103</v>
      </c>
      <c r="L47" s="9">
        <v>1.9647691949309647</v>
      </c>
      <c r="M47" s="9">
        <v>1.064060472503861</v>
      </c>
      <c r="N47" s="10">
        <v>2.961446859714326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I48" s="1"/>
      <c r="J48" s="8">
        <v>0.1369084023321291</v>
      </c>
      <c r="K48" s="9">
        <v>0.8351914049005522</v>
      </c>
      <c r="L48" s="9">
        <v>0.6617685360957548</v>
      </c>
      <c r="M48" s="9">
        <v>0.4521543640972193</v>
      </c>
      <c r="N48" s="10">
        <v>0.9634225235264884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I49" s="1"/>
      <c r="J49" s="8">
        <v>0.8944879820061882</v>
      </c>
      <c r="K49" s="9">
        <v>0.9153922929699936</v>
      </c>
      <c r="L49" s="9">
        <v>1.705151233042029</v>
      </c>
      <c r="M49" s="9">
        <v>1.1331167001987148</v>
      </c>
      <c r="N49" s="10">
        <v>2.3470536757778993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I50" s="1"/>
      <c r="J50" s="11">
        <v>0.7086333767581077</v>
      </c>
      <c r="K50" s="12">
        <v>1.3717560816240908</v>
      </c>
      <c r="L50" s="12">
        <v>1.57651349947353</v>
      </c>
      <c r="M50" s="12">
        <v>1.1798700164504266</v>
      </c>
      <c r="N50" s="13">
        <v>2.9007225208462586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6" t="s">
        <v>14</v>
      </c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>
      <c r="A55" s="35"/>
      <c r="B55" s="35"/>
      <c r="C55" s="35"/>
      <c r="D55" s="35"/>
      <c r="E55" s="35"/>
      <c r="F55" s="35"/>
      <c r="G55" s="35"/>
      <c r="H55" s="35"/>
      <c r="I55" s="37" t="s">
        <v>8</v>
      </c>
      <c r="J55" s="38">
        <f t="shared" ref="J55:N55" si="36">NORMINV(rand(),0, 1)</f>
        <v>0.09333845704</v>
      </c>
      <c r="K55" s="39">
        <f t="shared" si="36"/>
        <v>-1.59472686</v>
      </c>
      <c r="L55" s="39">
        <f t="shared" si="36"/>
        <v>0.9954951698</v>
      </c>
      <c r="M55" s="39">
        <f t="shared" si="36"/>
        <v>-0.2250569674</v>
      </c>
      <c r="N55" s="40">
        <f t="shared" si="36"/>
        <v>0.7050909782</v>
      </c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41">
        <f t="shared" ref="J56:N56" si="37">NORMINV(rand(),0, 1)</f>
        <v>1.456074618</v>
      </c>
      <c r="K56" s="42">
        <f t="shared" si="37"/>
        <v>-0.4082063821</v>
      </c>
      <c r="L56" s="42">
        <f t="shared" si="37"/>
        <v>-0.7207577166</v>
      </c>
      <c r="M56" s="42">
        <f t="shared" si="37"/>
        <v>-0.9607515637</v>
      </c>
      <c r="N56" s="43">
        <f t="shared" si="37"/>
        <v>-1.315385706</v>
      </c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41">
        <f t="shared" ref="J57:N57" si="38">NORMINV(rand(),0, 1)</f>
        <v>0.2920057049</v>
      </c>
      <c r="K57" s="42">
        <f t="shared" si="38"/>
        <v>-0.820540487</v>
      </c>
      <c r="L57" s="42">
        <f t="shared" si="38"/>
        <v>0.03692027481</v>
      </c>
      <c r="M57" s="42">
        <f t="shared" si="38"/>
        <v>-1.103394074</v>
      </c>
      <c r="N57" s="43">
        <f t="shared" si="38"/>
        <v>0.07125452688</v>
      </c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41">
        <f t="shared" ref="J58:N58" si="39">NORMINV(rand(),0, 1)</f>
        <v>-0.8166202496</v>
      </c>
      <c r="K58" s="42">
        <f t="shared" si="39"/>
        <v>-1.01559432</v>
      </c>
      <c r="L58" s="42">
        <f t="shared" si="39"/>
        <v>-0.862738462</v>
      </c>
      <c r="M58" s="42">
        <f t="shared" si="39"/>
        <v>0.3704316989</v>
      </c>
      <c r="N58" s="43">
        <f t="shared" si="39"/>
        <v>-0.01076175419</v>
      </c>
      <c r="O58" s="35"/>
      <c r="P58" s="44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45">
        <f t="shared" ref="J59:N59" si="40">NORMINV(rand(),0, 1)</f>
        <v>-1.098574196</v>
      </c>
      <c r="K59" s="46">
        <f t="shared" si="40"/>
        <v>-2.214757134</v>
      </c>
      <c r="L59" s="46">
        <f t="shared" si="40"/>
        <v>-1.84492651</v>
      </c>
      <c r="M59" s="46">
        <f t="shared" si="40"/>
        <v>1.648804918</v>
      </c>
      <c r="N59" s="47">
        <f t="shared" si="40"/>
        <v>1.139524317</v>
      </c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48" t="s">
        <v>2</v>
      </c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>
      <c r="A61" s="35"/>
      <c r="B61" s="37" t="s">
        <v>9</v>
      </c>
      <c r="C61" s="38">
        <f t="shared" ref="C61:G61" si="41">NORMINV(rand(),0, 1)</f>
        <v>0.01525864966</v>
      </c>
      <c r="D61" s="39">
        <f t="shared" si="41"/>
        <v>0.1627815507</v>
      </c>
      <c r="E61" s="39">
        <f t="shared" si="41"/>
        <v>-0.8473043499</v>
      </c>
      <c r="F61" s="39">
        <f t="shared" si="41"/>
        <v>1.222330683</v>
      </c>
      <c r="G61" s="40">
        <f t="shared" si="41"/>
        <v>-0.9803874596</v>
      </c>
      <c r="H61" s="35"/>
      <c r="I61" s="37" t="s">
        <v>10</v>
      </c>
      <c r="J61" s="49">
        <f t="array" ref="J61:N65">MMULT(J55:N59,C61:G65)</f>
        <v>3.209821628</v>
      </c>
      <c r="K61" s="50">
        <v>2.7212598626324436</v>
      </c>
      <c r="L61" s="51">
        <v>-1.6473906750056222</v>
      </c>
      <c r="M61" s="52">
        <v>-2.25388105269852</v>
      </c>
      <c r="N61" s="53">
        <v>2.1973613775989964</v>
      </c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>
      <c r="A62" s="35"/>
      <c r="B62" s="37" t="s">
        <v>11</v>
      </c>
      <c r="C62" s="41">
        <f t="shared" ref="C62:G62" si="42">NORMINV(rand(),0, 1)</f>
        <v>0.04323632944</v>
      </c>
      <c r="D62" s="42">
        <f t="shared" si="42"/>
        <v>-1.499826076</v>
      </c>
      <c r="E62" s="42">
        <f t="shared" si="42"/>
        <v>0.9320272192</v>
      </c>
      <c r="F62" s="42">
        <f t="shared" si="42"/>
        <v>1.453988896</v>
      </c>
      <c r="G62" s="43">
        <f t="shared" si="42"/>
        <v>-0.575947007</v>
      </c>
      <c r="H62" s="35"/>
      <c r="I62" s="35"/>
      <c r="J62" s="54">
        <v>-3.6209160520249553</v>
      </c>
      <c r="K62" s="55">
        <v>-0.15924384654210494</v>
      </c>
      <c r="L62" s="56">
        <v>-3.7732250191208117</v>
      </c>
      <c r="M62" s="57">
        <v>-0.5391809983555995</v>
      </c>
      <c r="N62" s="58">
        <v>-3.645272425793647</v>
      </c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>
      <c r="A63" s="35"/>
      <c r="B63" s="35"/>
      <c r="C63" s="41">
        <f t="shared" ref="C63:G63" si="43">NORMINV(rand(),0, 1)</f>
        <v>2.278410392</v>
      </c>
      <c r="D63" s="42">
        <f t="shared" si="43"/>
        <v>0.5086362003</v>
      </c>
      <c r="E63" s="42">
        <f t="shared" si="43"/>
        <v>-0.9605863099</v>
      </c>
      <c r="F63" s="42">
        <f t="shared" si="43"/>
        <v>-0.82755303</v>
      </c>
      <c r="G63" s="43">
        <f t="shared" si="43"/>
        <v>0.7521535358</v>
      </c>
      <c r="H63" s="48" t="s">
        <v>12</v>
      </c>
      <c r="I63" s="48" t="s">
        <v>12</v>
      </c>
      <c r="J63" s="59">
        <v>0.07635515130942569</v>
      </c>
      <c r="K63" s="60">
        <v>0.4946300576763443</v>
      </c>
      <c r="L63" s="61">
        <v>-1.9145105344524385</v>
      </c>
      <c r="M63" s="62">
        <v>-1.4748057982818443</v>
      </c>
      <c r="N63" s="63">
        <v>-0.310984949552515</v>
      </c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>
      <c r="A64" s="35"/>
      <c r="B64" s="35"/>
      <c r="C64" s="41">
        <f t="shared" ref="C64:G64" si="44">NORMINV(rand(),0, 1)</f>
        <v>0.07285415792</v>
      </c>
      <c r="D64" s="42">
        <f t="shared" si="44"/>
        <v>0.7245060982</v>
      </c>
      <c r="E64" s="42">
        <f t="shared" si="44"/>
        <v>0.883925311</v>
      </c>
      <c r="F64" s="42">
        <f t="shared" si="44"/>
        <v>0.6351719393</v>
      </c>
      <c r="G64" s="43">
        <f t="shared" si="44"/>
        <v>0.5440089797</v>
      </c>
      <c r="H64" s="35"/>
      <c r="I64" s="35"/>
      <c r="J64" s="64">
        <v>-2.0107095006630287</v>
      </c>
      <c r="K64" s="65">
        <v>1.2202873289379823</v>
      </c>
      <c r="L64" s="66">
        <v>0.8851526164064311</v>
      </c>
      <c r="M64" s="67">
        <v>-1.5395972244850946</v>
      </c>
      <c r="N64" s="68">
        <v>0.9267826287623968</v>
      </c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>
      <c r="A65" s="35"/>
      <c r="B65" s="35"/>
      <c r="C65" s="45">
        <f t="shared" ref="C65:G65" si="45">NORMINV(rand(),0, 1)</f>
        <v>1.454560296</v>
      </c>
      <c r="D65" s="46">
        <f t="shared" si="45"/>
        <v>-0.04118132463</v>
      </c>
      <c r="E65" s="46">
        <f t="shared" si="45"/>
        <v>1.522096951</v>
      </c>
      <c r="F65" s="46">
        <f t="shared" si="45"/>
        <v>1.301276823</v>
      </c>
      <c r="G65" s="47">
        <f t="shared" si="45"/>
        <v>1.05526647</v>
      </c>
      <c r="H65" s="35"/>
      <c r="I65" s="35"/>
      <c r="J65" s="69">
        <v>-2.538391338680757</v>
      </c>
      <c r="K65" s="70">
        <v>3.3521685774582535</v>
      </c>
      <c r="L65" s="71">
        <v>3.8307107993703386</v>
      </c>
      <c r="M65" s="72">
        <v>-0.5061675031709714</v>
      </c>
      <c r="N65" s="73">
        <v>3.0644095948799457</v>
      </c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48" t="s">
        <v>2</v>
      </c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>
      <c r="A67" s="35"/>
      <c r="B67" s="37" t="s">
        <v>15</v>
      </c>
      <c r="C67" s="74">
        <f t="shared" ref="C67:G67" si="46">NORMINV(rand(),0, 1)</f>
        <v>-1.607934573</v>
      </c>
      <c r="D67" s="75">
        <f t="shared" si="46"/>
        <v>0.751911614</v>
      </c>
      <c r="E67" s="76">
        <f t="shared" si="46"/>
        <v>0.579223859</v>
      </c>
      <c r="F67" s="77">
        <f t="shared" si="46"/>
        <v>1.321640897</v>
      </c>
      <c r="G67" s="78">
        <f t="shared" si="46"/>
        <v>1.8713508</v>
      </c>
      <c r="H67" s="35"/>
      <c r="I67" s="37" t="s">
        <v>16</v>
      </c>
      <c r="J67" s="79">
        <f t="array" ref="J67:N71">MMULT(J61:N65,C67:G71)</f>
        <v>-12.60896279</v>
      </c>
      <c r="K67" s="80">
        <v>6.6554479213969255</v>
      </c>
      <c r="L67" s="81">
        <v>6.158012275394068</v>
      </c>
      <c r="M67" s="80">
        <v>2.19875972946003</v>
      </c>
      <c r="N67" s="82">
        <v>5.637240380003905</v>
      </c>
      <c r="O67" s="35"/>
      <c r="P67" s="35"/>
      <c r="Q67" s="35"/>
      <c r="R67" s="35"/>
      <c r="S67" s="35"/>
      <c r="T67" s="35"/>
      <c r="U67" s="35"/>
      <c r="V67" s="35"/>
      <c r="W67" s="44"/>
      <c r="X67" s="35"/>
      <c r="Y67" s="35"/>
      <c r="Z67" s="35"/>
    </row>
    <row r="68">
      <c r="A68" s="35"/>
      <c r="B68" s="37" t="s">
        <v>11</v>
      </c>
      <c r="C68" s="83">
        <f t="shared" ref="C68:G68" si="47">NORMINV(rand(),0, 1)</f>
        <v>-1.887421251</v>
      </c>
      <c r="D68" s="84">
        <f t="shared" si="47"/>
        <v>0.8147412135</v>
      </c>
      <c r="E68" s="85">
        <f t="shared" si="47"/>
        <v>1.06704747</v>
      </c>
      <c r="F68" s="86">
        <f t="shared" si="47"/>
        <v>-0.1044055916</v>
      </c>
      <c r="G68" s="87">
        <f t="shared" si="47"/>
        <v>1.00439117</v>
      </c>
      <c r="H68" s="35"/>
      <c r="I68" s="37" t="s">
        <v>17</v>
      </c>
      <c r="J68" s="88">
        <v>-0.03442723859446639</v>
      </c>
      <c r="K68" s="89">
        <v>6.352990774457771</v>
      </c>
      <c r="L68" s="90">
        <v>-7.099151757080298</v>
      </c>
      <c r="M68" s="91">
        <v>-5.653368967495592</v>
      </c>
      <c r="N68" s="92">
        <v>-6.189041572693581</v>
      </c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>
      <c r="A69" s="35"/>
      <c r="B69" s="35"/>
      <c r="C69" s="93">
        <f t="shared" ref="C69:G69" si="48">NORMINV(rand(),0, 1)</f>
        <v>0.3567608077</v>
      </c>
      <c r="D69" s="94">
        <f t="shared" si="48"/>
        <v>-1.517980489</v>
      </c>
      <c r="E69" s="95">
        <f t="shared" si="48"/>
        <v>0.2847874393</v>
      </c>
      <c r="F69" s="96">
        <f t="shared" si="48"/>
        <v>0.8841973806</v>
      </c>
      <c r="G69" s="97">
        <f t="shared" si="48"/>
        <v>0.8077900217</v>
      </c>
      <c r="H69" s="48" t="s">
        <v>12</v>
      </c>
      <c r="I69" s="48" t="s">
        <v>12</v>
      </c>
      <c r="J69" s="98">
        <v>-4.711669699189456</v>
      </c>
      <c r="K69" s="99">
        <v>4.5610690549854</v>
      </c>
      <c r="L69" s="100">
        <v>-0.5157389484004442</v>
      </c>
      <c r="M69" s="101">
        <v>-0.7832467911795296</v>
      </c>
      <c r="N69" s="102">
        <v>-0.297412816052647</v>
      </c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>
      <c r="A70" s="35"/>
      <c r="B70" s="35"/>
      <c r="C70" s="103">
        <f t="shared" ref="C70:G70" si="49">NORMINV(rand(),0, 1)</f>
        <v>1.793005197</v>
      </c>
      <c r="D70" s="104">
        <f t="shared" si="49"/>
        <v>-0.628346441</v>
      </c>
      <c r="E70" s="84">
        <f t="shared" si="49"/>
        <v>0.1553638366</v>
      </c>
      <c r="F70" s="104">
        <f t="shared" si="49"/>
        <v>-0.4557060877</v>
      </c>
      <c r="G70" s="105">
        <f t="shared" si="49"/>
        <v>-0.1999375134</v>
      </c>
      <c r="H70" s="35"/>
      <c r="I70" s="35"/>
      <c r="J70" s="59">
        <v>-0.5374435432793689</v>
      </c>
      <c r="K70" s="106">
        <v>-1.6919345154619947</v>
      </c>
      <c r="L70" s="107">
        <v>1.0843142238773658</v>
      </c>
      <c r="M70" s="108">
        <v>-1.861477285337018</v>
      </c>
      <c r="N70" s="109">
        <v>-2.4516673682448378</v>
      </c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>
      <c r="A71" s="35"/>
      <c r="B71" s="35"/>
      <c r="C71" s="110">
        <f t="shared" ref="C71:G71" si="50">NORMINV(rand(),0, 1)</f>
        <v>1.054596194</v>
      </c>
      <c r="D71" s="111">
        <f t="shared" si="50"/>
        <v>-0.8610790481</v>
      </c>
      <c r="E71" s="112">
        <f t="shared" si="50"/>
        <v>1.007763837</v>
      </c>
      <c r="F71" s="113">
        <f t="shared" si="50"/>
        <v>-0.6052012531</v>
      </c>
      <c r="G71" s="114">
        <f t="shared" si="50"/>
        <v>-1.01146808</v>
      </c>
      <c r="H71" s="35"/>
      <c r="I71" s="35"/>
      <c r="J71" s="115">
        <v>1.4454141942070873</v>
      </c>
      <c r="K71" s="116">
        <v>-7.313090634512509</v>
      </c>
      <c r="L71" s="117">
        <v>6.20712553741911</v>
      </c>
      <c r="M71" s="118">
        <v>-1.9416434105133937</v>
      </c>
      <c r="N71" s="119">
        <v>-1.2872727997535423</v>
      </c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48" t="s">
        <v>2</v>
      </c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>
      <c r="A73" s="35"/>
      <c r="B73" s="35"/>
      <c r="C73" s="35"/>
      <c r="D73" s="35"/>
      <c r="E73" s="35"/>
      <c r="F73" s="35"/>
      <c r="G73" s="35"/>
      <c r="H73" s="35"/>
      <c r="I73" s="120" t="s">
        <v>18</v>
      </c>
      <c r="J73" s="121">
        <f t="shared" ref="J73:N73" si="51">Max(0,J67)</f>
        <v>0</v>
      </c>
      <c r="K73" s="122">
        <f t="shared" si="51"/>
        <v>6.655447921</v>
      </c>
      <c r="L73" s="122">
        <f t="shared" si="51"/>
        <v>6.158012275</v>
      </c>
      <c r="M73" s="122">
        <f t="shared" si="51"/>
        <v>2.198759729</v>
      </c>
      <c r="N73" s="123">
        <f t="shared" si="51"/>
        <v>5.63724038</v>
      </c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124">
        <f t="shared" ref="J74:N74" si="52">Max(0,J68)</f>
        <v>0</v>
      </c>
      <c r="K74" s="125">
        <f t="shared" si="52"/>
        <v>6.352990774</v>
      </c>
      <c r="L74" s="125">
        <f t="shared" si="52"/>
        <v>0</v>
      </c>
      <c r="M74" s="125">
        <f t="shared" si="52"/>
        <v>0</v>
      </c>
      <c r="N74" s="126">
        <f t="shared" si="52"/>
        <v>0</v>
      </c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124">
        <f t="shared" ref="J75:N75" si="53">Max(0,J69)</f>
        <v>0</v>
      </c>
      <c r="K75" s="125">
        <f t="shared" si="53"/>
        <v>4.561069055</v>
      </c>
      <c r="L75" s="125">
        <f t="shared" si="53"/>
        <v>0</v>
      </c>
      <c r="M75" s="125">
        <f t="shared" si="53"/>
        <v>0</v>
      </c>
      <c r="N75" s="126">
        <f t="shared" si="53"/>
        <v>0</v>
      </c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124">
        <f t="shared" ref="J76:N76" si="54">Max(0,J70)</f>
        <v>0</v>
      </c>
      <c r="K76" s="125">
        <f t="shared" si="54"/>
        <v>0</v>
      </c>
      <c r="L76" s="125">
        <f t="shared" si="54"/>
        <v>1.084314224</v>
      </c>
      <c r="M76" s="125">
        <f t="shared" si="54"/>
        <v>0</v>
      </c>
      <c r="N76" s="126">
        <f t="shared" si="54"/>
        <v>0</v>
      </c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127">
        <f t="shared" ref="J77:N77" si="55">Max(0,J71)</f>
        <v>1.445414194</v>
      </c>
      <c r="K77" s="128">
        <f t="shared" si="55"/>
        <v>0</v>
      </c>
      <c r="L77" s="128">
        <f t="shared" si="55"/>
        <v>6.207125537</v>
      </c>
      <c r="M77" s="128">
        <f t="shared" si="55"/>
        <v>0</v>
      </c>
      <c r="N77" s="129">
        <f t="shared" si="55"/>
        <v>0</v>
      </c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48" t="s">
        <v>2</v>
      </c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>
      <c r="A79" s="35"/>
      <c r="B79" s="35"/>
      <c r="C79" s="35"/>
      <c r="D79" s="35"/>
      <c r="E79" s="35"/>
      <c r="F79" s="35"/>
      <c r="G79" s="35"/>
      <c r="H79" s="35"/>
      <c r="I79" s="37" t="s">
        <v>13</v>
      </c>
      <c r="J79" s="130">
        <f t="array" ref="J79:N83">J67:N71+ J55:N59</f>
        <v>-12.51562433</v>
      </c>
      <c r="K79" s="131">
        <v>5.060721061265108</v>
      </c>
      <c r="L79" s="132">
        <v>7.153507445243456</v>
      </c>
      <c r="M79" s="133">
        <v>1.9737027620418222</v>
      </c>
      <c r="N79" s="134">
        <v>6.342331358239382</v>
      </c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135">
        <v>1.4216473798686</v>
      </c>
      <c r="K80" s="136">
        <v>5.944784392363227</v>
      </c>
      <c r="L80" s="137">
        <v>-7.819909473678206</v>
      </c>
      <c r="M80" s="138">
        <v>-6.614120531147613</v>
      </c>
      <c r="N80" s="139">
        <v>-7.504427278853966</v>
      </c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140">
        <v>-4.419663994282852</v>
      </c>
      <c r="K81" s="141">
        <v>3.7405285680351783</v>
      </c>
      <c r="L81" s="142">
        <v>-0.4788186735914104</v>
      </c>
      <c r="M81" s="137">
        <v>-1.8866408649193172</v>
      </c>
      <c r="N81" s="143">
        <v>-0.22615828916813502</v>
      </c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144">
        <v>-1.3540637929183124</v>
      </c>
      <c r="K82" s="106">
        <v>-2.7075288359299505</v>
      </c>
      <c r="L82" s="145">
        <v>0.2215757619255545</v>
      </c>
      <c r="M82" s="146">
        <v>-1.49104558646806</v>
      </c>
      <c r="N82" s="147">
        <v>-2.4624291224304438</v>
      </c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148">
        <v>0.34683999786811737</v>
      </c>
      <c r="K83" s="149">
        <v>-9.527847768561372</v>
      </c>
      <c r="L83" s="150">
        <v>4.362199027278173</v>
      </c>
      <c r="M83" s="151">
        <v>-0.2928384927280132</v>
      </c>
      <c r="N83" s="152">
        <v>-0.14774848250916395</v>
      </c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>
      <c r="A85" s="3" t="s">
        <v>19</v>
      </c>
    </row>
    <row r="86"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B87" s="1"/>
      <c r="C87" s="2"/>
      <c r="D87" s="2"/>
      <c r="E87" s="2"/>
      <c r="F87" s="2"/>
      <c r="G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I88" s="4" t="s">
        <v>8</v>
      </c>
      <c r="J88" s="34">
        <f t="shared" ref="J88:N88" si="56">rand()</f>
        <v>0.1325561289</v>
      </c>
      <c r="K88" s="25">
        <f t="shared" si="56"/>
        <v>0.02567944821</v>
      </c>
      <c r="L88" s="25">
        <f t="shared" si="56"/>
        <v>0.7573377519</v>
      </c>
      <c r="M88" s="25">
        <f t="shared" si="56"/>
        <v>0.4390506448</v>
      </c>
      <c r="N88" s="26">
        <f t="shared" si="56"/>
        <v>0.8755169223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I89" s="1"/>
      <c r="J89" s="27">
        <f t="shared" ref="J89:N89" si="57">rand()</f>
        <v>0.1958260513</v>
      </c>
      <c r="K89" s="28">
        <f t="shared" si="57"/>
        <v>0.4220658186</v>
      </c>
      <c r="L89" s="28">
        <f t="shared" si="57"/>
        <v>0.8571559801</v>
      </c>
      <c r="M89" s="28">
        <f t="shared" si="57"/>
        <v>0.8272440972</v>
      </c>
      <c r="N89" s="29">
        <f t="shared" si="57"/>
        <v>0.3101669965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I90" s="1"/>
      <c r="J90" s="27">
        <f t="shared" ref="J90:N90" si="58">rand()</f>
        <v>0.9786874424</v>
      </c>
      <c r="K90" s="28">
        <f t="shared" si="58"/>
        <v>0.09554910184</v>
      </c>
      <c r="L90" s="28">
        <f t="shared" si="58"/>
        <v>0.2811421668</v>
      </c>
      <c r="M90" s="28">
        <f t="shared" si="58"/>
        <v>0.9075884572</v>
      </c>
      <c r="N90" s="29">
        <f t="shared" si="58"/>
        <v>0.808966768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I91" s="1"/>
      <c r="J91" s="27">
        <f t="shared" ref="J91:N91" si="59">rand()</f>
        <v>0.7739843819</v>
      </c>
      <c r="K91" s="28">
        <f t="shared" si="59"/>
        <v>0.1058937505</v>
      </c>
      <c r="L91" s="28">
        <f t="shared" si="59"/>
        <v>0.4423927936</v>
      </c>
      <c r="M91" s="28">
        <f t="shared" si="59"/>
        <v>0.975174769</v>
      </c>
      <c r="N91" s="29">
        <f t="shared" si="59"/>
        <v>0.1995386752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I92" s="1"/>
      <c r="J92" s="31">
        <f t="shared" ref="J92:N92" si="60">rand()</f>
        <v>0.5202407439</v>
      </c>
      <c r="K92" s="32">
        <f t="shared" si="60"/>
        <v>0.2150208032</v>
      </c>
      <c r="L92" s="32">
        <f t="shared" si="60"/>
        <v>0.6190680786</v>
      </c>
      <c r="M92" s="32">
        <f t="shared" si="60"/>
        <v>0.7308333685</v>
      </c>
      <c r="N92" s="33">
        <f t="shared" si="60"/>
        <v>0.2770262488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B93" s="1"/>
      <c r="C93" s="2"/>
      <c r="D93" s="2"/>
      <c r="E93" s="14"/>
      <c r="F93" s="2"/>
      <c r="G93" s="2"/>
      <c r="I93" s="2"/>
      <c r="J93" s="2"/>
      <c r="K93" s="2"/>
      <c r="L93" s="14" t="s">
        <v>2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B94" s="4" t="s">
        <v>9</v>
      </c>
      <c r="C94" s="34">
        <f t="shared" ref="C94:G94" si="61">rand()</f>
        <v>0.5078676835</v>
      </c>
      <c r="D94" s="25">
        <f t="shared" si="61"/>
        <v>0.4554165286</v>
      </c>
      <c r="E94" s="25">
        <f t="shared" si="61"/>
        <v>0.4384679444</v>
      </c>
      <c r="F94" s="25">
        <f t="shared" si="61"/>
        <v>0.3116784058</v>
      </c>
      <c r="G94" s="26">
        <f t="shared" si="61"/>
        <v>0.6300674195</v>
      </c>
      <c r="I94" s="4" t="s">
        <v>10</v>
      </c>
      <c r="J94" s="5">
        <f t="array" ref="J94:N98">MMULT(J88:N92,C94:G98)</f>
        <v>0.8632713937</v>
      </c>
      <c r="K94" s="6">
        <v>1.0676176248565026</v>
      </c>
      <c r="L94" s="6">
        <v>1.0738660974604797</v>
      </c>
      <c r="M94" s="6">
        <v>1.2722940246023298</v>
      </c>
      <c r="N94" s="7">
        <v>0.9748348875275418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B95" s="4" t="s">
        <v>11</v>
      </c>
      <c r="C95" s="27">
        <f t="shared" ref="C95:G95" si="62">rand()</f>
        <v>0.7300500374</v>
      </c>
      <c r="D95" s="28">
        <f t="shared" si="62"/>
        <v>0.4731925322</v>
      </c>
      <c r="E95" s="28">
        <f t="shared" si="62"/>
        <v>0.6458779397</v>
      </c>
      <c r="F95" s="28">
        <f t="shared" si="62"/>
        <v>0.6421300418</v>
      </c>
      <c r="G95" s="29">
        <f t="shared" si="62"/>
        <v>0.09472361324</v>
      </c>
      <c r="I95" s="1"/>
      <c r="J95" s="8">
        <v>1.3098502642480956</v>
      </c>
      <c r="K95" s="9">
        <v>1.2351050165395776</v>
      </c>
      <c r="L95" s="9">
        <v>1.3461808826456005</v>
      </c>
      <c r="M95" s="9">
        <v>1.6737432395098584</v>
      </c>
      <c r="N95" s="10">
        <v>1.3002123250699829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B96" s="1"/>
      <c r="C96" s="27">
        <f t="shared" ref="C96:G96" si="63">rand()</f>
        <v>0.3917178419</v>
      </c>
      <c r="D96" s="28">
        <f t="shared" si="63"/>
        <v>0.4603351926</v>
      </c>
      <c r="E96" s="28">
        <f t="shared" si="63"/>
        <v>0.8503173152</v>
      </c>
      <c r="F96" s="28">
        <f t="shared" si="63"/>
        <v>0.4535989817</v>
      </c>
      <c r="G96" s="29">
        <f t="shared" si="63"/>
        <v>0.2803012359</v>
      </c>
      <c r="H96" s="14" t="s">
        <v>12</v>
      </c>
      <c r="I96" s="14" t="s">
        <v>12</v>
      </c>
      <c r="J96" s="8">
        <v>1.417038563283678</v>
      </c>
      <c r="K96" s="9">
        <v>1.4587279608018817</v>
      </c>
      <c r="L96" s="9">
        <v>1.1574827883998304</v>
      </c>
      <c r="M96" s="9">
        <v>1.7801312822632152</v>
      </c>
      <c r="N96" s="10">
        <v>1.820507249031296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B97" s="1"/>
      <c r="C97" s="27">
        <f t="shared" ref="C97:G97" si="64">rand()</f>
        <v>0.5899399596</v>
      </c>
      <c r="D97" s="28">
        <f t="shared" si="64"/>
        <v>0.4802754689</v>
      </c>
      <c r="E97" s="28">
        <f t="shared" si="64"/>
        <v>0.1980500162</v>
      </c>
      <c r="F97" s="28">
        <f t="shared" si="64"/>
        <v>0.9592470408</v>
      </c>
      <c r="G97" s="29">
        <f t="shared" si="64"/>
        <v>0.9779471179</v>
      </c>
      <c r="I97" s="1"/>
      <c r="J97" s="8">
        <v>1.2694652055496358</v>
      </c>
      <c r="K97" s="9">
        <v>1.1738731221295076</v>
      </c>
      <c r="L97" s="9">
        <v>1.0382009759798339</v>
      </c>
      <c r="M97" s="9">
        <v>1.5478488242465285</v>
      </c>
      <c r="N97" s="10">
        <v>1.631712145521974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B98" s="1"/>
      <c r="C98" s="31">
        <f t="shared" ref="C98:G98" si="65">rand()</f>
        <v>0.2530241305</v>
      </c>
      <c r="D98" s="32">
        <f t="shared" si="65"/>
        <v>0.4975387276</v>
      </c>
      <c r="E98" s="32">
        <f t="shared" si="65"/>
        <v>0.3063644997</v>
      </c>
      <c r="F98" s="32">
        <f t="shared" si="65"/>
        <v>0.5137581241</v>
      </c>
      <c r="G98" s="33">
        <f t="shared" si="65"/>
        <v>0.2823841692</v>
      </c>
      <c r="I98" s="1"/>
      <c r="J98" s="11">
        <v>1.1649315522375032</v>
      </c>
      <c r="K98" s="12">
        <v>1.1124839212244926</v>
      </c>
      <c r="L98" s="12">
        <v>1.1230029580343819</v>
      </c>
      <c r="M98" s="12">
        <v>1.424402005089058</v>
      </c>
      <c r="N98" s="13">
        <v>1.3146240514767842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B99" s="1"/>
      <c r="C99" s="2"/>
      <c r="D99" s="2"/>
      <c r="F99" s="2"/>
      <c r="G99" s="2"/>
      <c r="H99" s="2"/>
      <c r="I99" s="2"/>
      <c r="J99" s="2"/>
      <c r="K99" s="2"/>
      <c r="L99" s="14" t="s">
        <v>2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H100" s="2"/>
      <c r="I100" s="4" t="s">
        <v>13</v>
      </c>
      <c r="J100" s="5">
        <f t="array" ref="J100:N104">J94:N98</f>
        <v>0.8632713937</v>
      </c>
      <c r="K100" s="6">
        <v>1.0676176248565026</v>
      </c>
      <c r="L100" s="6">
        <v>1.0738660974604797</v>
      </c>
      <c r="M100" s="6">
        <v>1.2722940246023298</v>
      </c>
      <c r="N100" s="6">
        <v>0.9748348875275418</v>
      </c>
      <c r="O100" s="25">
        <f t="array" ref="O100:S104">J88:N92</f>
        <v>0.1325561289</v>
      </c>
      <c r="P100" s="25">
        <v>0.025679448205792155</v>
      </c>
      <c r="Q100" s="25">
        <v>0.7573377518625751</v>
      </c>
      <c r="R100" s="25">
        <v>0.4390506448038288</v>
      </c>
      <c r="S100" s="26">
        <v>0.875516922294536</v>
      </c>
      <c r="T100" s="2"/>
      <c r="U100" s="2"/>
      <c r="V100" s="2"/>
      <c r="W100" s="2"/>
      <c r="X100" s="2"/>
      <c r="Y100" s="2"/>
      <c r="Z100" s="2"/>
    </row>
    <row r="101">
      <c r="H101" s="2"/>
      <c r="I101" s="1"/>
      <c r="J101" s="8">
        <v>1.3098502642480956</v>
      </c>
      <c r="K101" s="9">
        <v>1.2351050165395776</v>
      </c>
      <c r="L101" s="9">
        <v>1.3461808826456005</v>
      </c>
      <c r="M101" s="9">
        <v>1.6737432395098584</v>
      </c>
      <c r="N101" s="9">
        <v>1.3002123250699829</v>
      </c>
      <c r="O101" s="28">
        <v>0.19582605126963804</v>
      </c>
      <c r="P101" s="28">
        <v>0.4220658185743785</v>
      </c>
      <c r="Q101" s="28">
        <v>0.8571559800577754</v>
      </c>
      <c r="R101" s="28">
        <v>0.8272440972237046</v>
      </c>
      <c r="S101" s="29">
        <v>0.3101669965191438</v>
      </c>
      <c r="T101" s="2"/>
      <c r="U101" s="2"/>
      <c r="V101" s="2"/>
      <c r="W101" s="2"/>
      <c r="X101" s="2"/>
      <c r="Y101" s="2"/>
      <c r="Z101" s="2"/>
    </row>
    <row r="102">
      <c r="H102" s="2"/>
      <c r="I102" s="1"/>
      <c r="J102" s="8">
        <v>1.417038563283678</v>
      </c>
      <c r="K102" s="9">
        <v>1.4587279608018817</v>
      </c>
      <c r="L102" s="9">
        <v>1.1574827883998304</v>
      </c>
      <c r="M102" s="9">
        <v>1.7801312822632152</v>
      </c>
      <c r="N102" s="9">
        <v>1.820507249031296</v>
      </c>
      <c r="O102" s="28">
        <v>0.9786874424385045</v>
      </c>
      <c r="P102" s="28">
        <v>0.09554910184124177</v>
      </c>
      <c r="Q102" s="28">
        <v>0.2811421668357629</v>
      </c>
      <c r="R102" s="28">
        <v>0.907588457223607</v>
      </c>
      <c r="S102" s="29">
        <v>0.8089667679899849</v>
      </c>
      <c r="T102" s="2"/>
      <c r="U102" s="2"/>
      <c r="V102" s="2"/>
      <c r="W102" s="2"/>
      <c r="X102" s="2"/>
      <c r="Y102" s="2"/>
      <c r="Z102" s="2"/>
    </row>
    <row r="103">
      <c r="H103" s="2"/>
      <c r="I103" s="1"/>
      <c r="J103" s="8">
        <v>1.2694652055496358</v>
      </c>
      <c r="K103" s="9">
        <v>1.1738731221295076</v>
      </c>
      <c r="L103" s="9">
        <v>1.0382009759798339</v>
      </c>
      <c r="M103" s="9">
        <v>1.5478488242465285</v>
      </c>
      <c r="N103" s="9">
        <v>1.631712145521974</v>
      </c>
      <c r="O103" s="28">
        <v>0.7739843819479914</v>
      </c>
      <c r="P103" s="28">
        <v>0.1058937504690638</v>
      </c>
      <c r="Q103" s="28">
        <v>0.4423927935553149</v>
      </c>
      <c r="R103" s="28">
        <v>0.9751747689739515</v>
      </c>
      <c r="S103" s="29">
        <v>0.19953867520010338</v>
      </c>
      <c r="T103" s="2"/>
      <c r="U103" s="2"/>
      <c r="V103" s="2"/>
      <c r="W103" s="2"/>
      <c r="X103" s="2"/>
      <c r="Y103" s="2"/>
      <c r="Z103" s="2"/>
    </row>
    <row r="104">
      <c r="H104" s="2"/>
      <c r="I104" s="1"/>
      <c r="J104" s="11">
        <v>1.1649315522375032</v>
      </c>
      <c r="K104" s="12">
        <v>1.1124839212244926</v>
      </c>
      <c r="L104" s="12">
        <v>1.1230029580343819</v>
      </c>
      <c r="M104" s="12">
        <v>1.424402005089058</v>
      </c>
      <c r="N104" s="12">
        <v>1.3146240514767842</v>
      </c>
      <c r="O104" s="32">
        <v>0.520240743906796</v>
      </c>
      <c r="P104" s="32">
        <v>0.21502080323216366</v>
      </c>
      <c r="Q104" s="32">
        <v>0.6190680786101425</v>
      </c>
      <c r="R104" s="32">
        <v>0.7308333684613115</v>
      </c>
      <c r="S104" s="33">
        <v>0.27702624882330773</v>
      </c>
      <c r="T104" s="2"/>
      <c r="U104" s="2"/>
      <c r="V104" s="2"/>
      <c r="W104" s="2"/>
      <c r="X104" s="2"/>
      <c r="Y104" s="2"/>
      <c r="Z104" s="2"/>
    </row>
    <row r="105">
      <c r="B105" s="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 t="s">
        <v>20</v>
      </c>
    </row>
    <row r="107"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H109" s="2"/>
      <c r="I109" s="4" t="s">
        <v>8</v>
      </c>
      <c r="J109" s="34">
        <f t="shared" ref="J109:N109" si="66">rand()</f>
        <v>0.8990991745</v>
      </c>
      <c r="K109" s="25">
        <f t="shared" si="66"/>
        <v>0.1454869659</v>
      </c>
      <c r="L109" s="25">
        <f t="shared" si="66"/>
        <v>0.259929527</v>
      </c>
      <c r="M109" s="25">
        <f t="shared" si="66"/>
        <v>0.6021000661</v>
      </c>
      <c r="N109" s="26">
        <f t="shared" si="66"/>
        <v>0.2425456484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H110" s="2"/>
      <c r="I110" s="1"/>
      <c r="J110" s="27">
        <f t="shared" ref="J110:N110" si="67">rand()</f>
        <v>0.8966266631</v>
      </c>
      <c r="K110" s="28">
        <f t="shared" si="67"/>
        <v>0.342903936</v>
      </c>
      <c r="L110" s="28">
        <f t="shared" si="67"/>
        <v>0.7053954129</v>
      </c>
      <c r="M110" s="28">
        <f t="shared" si="67"/>
        <v>0.002930435393</v>
      </c>
      <c r="N110" s="29">
        <f t="shared" si="67"/>
        <v>0.4573902723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H111" s="2"/>
      <c r="I111" s="1"/>
      <c r="J111" s="27">
        <f t="shared" ref="J111:N111" si="68">rand()</f>
        <v>0.3806626512</v>
      </c>
      <c r="K111" s="28">
        <f t="shared" si="68"/>
        <v>0.9208004985</v>
      </c>
      <c r="L111" s="28">
        <f t="shared" si="68"/>
        <v>0.9115484429</v>
      </c>
      <c r="M111" s="28">
        <f t="shared" si="68"/>
        <v>0.5006772409</v>
      </c>
      <c r="N111" s="29">
        <f t="shared" si="68"/>
        <v>0.3820765574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H112" s="2"/>
      <c r="I112" s="1"/>
      <c r="J112" s="27">
        <f t="shared" ref="J112:N112" si="69">rand()</f>
        <v>0.4742258865</v>
      </c>
      <c r="K112" s="28">
        <f t="shared" si="69"/>
        <v>0.4619939461</v>
      </c>
      <c r="L112" s="28">
        <f t="shared" si="69"/>
        <v>0.08763951363</v>
      </c>
      <c r="M112" s="28">
        <f t="shared" si="69"/>
        <v>0.4809416034</v>
      </c>
      <c r="N112" s="29">
        <f t="shared" si="69"/>
        <v>0.8696150114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H113" s="2"/>
      <c r="I113" s="1"/>
      <c r="J113" s="31">
        <f t="shared" ref="J113:N113" si="70">rand()</f>
        <v>0.6472713582</v>
      </c>
      <c r="K113" s="32">
        <f t="shared" si="70"/>
        <v>0.8468772587</v>
      </c>
      <c r="L113" s="32">
        <f t="shared" si="70"/>
        <v>0.9064676128</v>
      </c>
      <c r="M113" s="32">
        <f t="shared" si="70"/>
        <v>0.3745389685</v>
      </c>
      <c r="N113" s="33">
        <f t="shared" si="70"/>
        <v>0.4000661454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B114" s="1"/>
      <c r="C114" s="2"/>
      <c r="D114" s="2"/>
      <c r="E114" s="14"/>
      <c r="F114" s="2"/>
      <c r="G114" s="2"/>
      <c r="H114" s="2"/>
      <c r="I114" s="1"/>
      <c r="J114" s="2"/>
      <c r="K114" s="2"/>
      <c r="L114" s="14" t="s">
        <v>2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B115" s="4" t="s">
        <v>9</v>
      </c>
      <c r="C115" s="34">
        <f t="shared" ref="C115:G115" si="71">rand()</f>
        <v>0.1822718423</v>
      </c>
      <c r="D115" s="25">
        <f t="shared" si="71"/>
        <v>0.6254121438</v>
      </c>
      <c r="E115" s="25">
        <f t="shared" si="71"/>
        <v>0.4118288808</v>
      </c>
      <c r="F115" s="25">
        <f t="shared" si="71"/>
        <v>0.8827522787</v>
      </c>
      <c r="G115" s="26">
        <f t="shared" si="71"/>
        <v>0.6218104052</v>
      </c>
      <c r="H115" s="2"/>
      <c r="I115" s="4" t="s">
        <v>10</v>
      </c>
      <c r="J115" s="5">
        <f t="array" ref="J115:N119">MMULT(J109:N113,C115:G119)</f>
        <v>0.6757666386</v>
      </c>
      <c r="K115" s="6">
        <v>1.1095989175321381</v>
      </c>
      <c r="L115" s="6">
        <v>1.176715606009084</v>
      </c>
      <c r="M115" s="6">
        <v>1.269306869166452</v>
      </c>
      <c r="N115" s="7">
        <v>1.1478211507785956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B116" s="4" t="s">
        <v>11</v>
      </c>
      <c r="C116" s="27">
        <f t="shared" ref="C116:G116" si="72">rand()</f>
        <v>0.5473848781</v>
      </c>
      <c r="D116" s="28">
        <f t="shared" si="72"/>
        <v>0.8129771479</v>
      </c>
      <c r="E116" s="28">
        <f t="shared" si="72"/>
        <v>0.592772496</v>
      </c>
      <c r="F116" s="28">
        <f t="shared" si="72"/>
        <v>0.9240107946</v>
      </c>
      <c r="G116" s="29">
        <f t="shared" si="72"/>
        <v>0.5973128188</v>
      </c>
      <c r="H116" s="2"/>
      <c r="I116" s="1"/>
      <c r="J116" s="8">
        <v>0.7396644148963484</v>
      </c>
      <c r="K116" s="9">
        <v>1.5662320886548335</v>
      </c>
      <c r="L116" s="9">
        <v>1.123483012514071</v>
      </c>
      <c r="M116" s="9">
        <v>1.8878809057116086</v>
      </c>
      <c r="N116" s="10">
        <v>1.2049875378267862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B117" s="1"/>
      <c r="C117" s="27">
        <f t="shared" ref="C117:G117" si="73">rand()</f>
        <v>0.5192091921</v>
      </c>
      <c r="D117" s="28">
        <f t="shared" si="73"/>
        <v>0.6388790993</v>
      </c>
      <c r="E117" s="28">
        <f t="shared" si="73"/>
        <v>0.2368989416</v>
      </c>
      <c r="F117" s="28">
        <f t="shared" si="73"/>
        <v>0.9879088625</v>
      </c>
      <c r="G117" s="29">
        <f t="shared" si="73"/>
        <v>0.0278988937</v>
      </c>
      <c r="H117" s="14" t="s">
        <v>12</v>
      </c>
      <c r="I117" s="14" t="s">
        <v>12</v>
      </c>
      <c r="J117" s="8">
        <v>1.3021535059691336</v>
      </c>
      <c r="K117" s="9">
        <v>1.8963263321874908</v>
      </c>
      <c r="L117" s="9">
        <v>1.6167272213354176</v>
      </c>
      <c r="M117" s="9">
        <v>2.190100818854455</v>
      </c>
      <c r="N117" s="10">
        <v>1.3897081168765117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B118" s="1"/>
      <c r="C118" s="27">
        <f t="shared" ref="C118:G118" si="74">rand()</f>
        <v>0.4753555688</v>
      </c>
      <c r="D118" s="28">
        <f t="shared" si="74"/>
        <v>0.1941128893</v>
      </c>
      <c r="E118" s="28">
        <f t="shared" si="74"/>
        <v>0.757763218</v>
      </c>
      <c r="F118" s="28">
        <f t="shared" si="74"/>
        <v>0.06755402077</v>
      </c>
      <c r="G118" s="29">
        <f t="shared" si="74"/>
        <v>0.4501130696</v>
      </c>
      <c r="H118" s="2"/>
      <c r="I118" s="1"/>
      <c r="J118" s="8">
        <v>0.6531717137041267</v>
      </c>
      <c r="K118" s="9">
        <v>1.3452570972641988</v>
      </c>
      <c r="L118" s="9">
        <v>1.5799423353875728</v>
      </c>
      <c r="M118" s="9">
        <v>1.1213779209520969</v>
      </c>
      <c r="N118" s="10">
        <v>1.591393809519171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B119" s="1"/>
      <c r="C119" s="31">
        <f t="shared" ref="C119:G119" si="75">rand()</f>
        <v>0.04567961314</v>
      </c>
      <c r="D119" s="32">
        <f t="shared" si="75"/>
        <v>0.602257233</v>
      </c>
      <c r="E119" s="32">
        <f t="shared" si="75"/>
        <v>0.8343733033</v>
      </c>
      <c r="F119" s="32">
        <f t="shared" si="75"/>
        <v>0.1803064029</v>
      </c>
      <c r="G119" s="33">
        <f t="shared" si="75"/>
        <v>0.9218299538</v>
      </c>
      <c r="H119" s="2"/>
      <c r="I119" s="1"/>
      <c r="J119" s="11">
        <v>1.2485075160490242</v>
      </c>
      <c r="K119" s="12">
        <v>1.9860720093245297</v>
      </c>
      <c r="L119" s="12">
        <v>1.600928168855912</v>
      </c>
      <c r="M119" s="12">
        <v>2.346847484191286</v>
      </c>
      <c r="N119" s="13">
        <v>1.4709979927993637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H120" s="2"/>
      <c r="I120" s="1"/>
      <c r="J120" s="2"/>
      <c r="K120" s="2"/>
      <c r="L120" s="14" t="s">
        <v>2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H121" s="2"/>
      <c r="I121" s="4" t="s">
        <v>21</v>
      </c>
      <c r="J121" s="153">
        <v>0.5</v>
      </c>
      <c r="K121" s="2"/>
      <c r="L121" s="14" t="s">
        <v>2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H122" s="2"/>
      <c r="I122" s="1"/>
      <c r="J122" s="14" t="s">
        <v>2</v>
      </c>
      <c r="K122" s="2"/>
      <c r="L122" s="14" t="s">
        <v>2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H123" s="2"/>
      <c r="I123" s="4" t="s">
        <v>22</v>
      </c>
      <c r="J123" s="5">
        <f t="array" ref="J123:N127">J115:N119 * J121</f>
        <v>0.3378833193</v>
      </c>
      <c r="K123" s="6">
        <v>0.5547994587660691</v>
      </c>
      <c r="L123" s="154">
        <v>0.588357803004542</v>
      </c>
      <c r="M123" s="6">
        <v>0.634653434583226</v>
      </c>
      <c r="N123" s="7">
        <v>0.5739105753892978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H124" s="2"/>
      <c r="I124" s="4" t="s">
        <v>23</v>
      </c>
      <c r="J124" s="8">
        <v>0.3698322074481742</v>
      </c>
      <c r="K124" s="9">
        <v>0.7831160443274168</v>
      </c>
      <c r="L124" s="155">
        <v>0.5617415062570355</v>
      </c>
      <c r="M124" s="9">
        <v>0.9439404528558043</v>
      </c>
      <c r="N124" s="10">
        <v>0.6024937689133931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H125" s="2"/>
      <c r="I125" s="1"/>
      <c r="J125" s="8">
        <v>0.6510767529845668</v>
      </c>
      <c r="K125" s="9">
        <v>0.9481631660937454</v>
      </c>
      <c r="L125" s="155">
        <v>0.8083636106677088</v>
      </c>
      <c r="M125" s="9">
        <v>1.0950504094272275</v>
      </c>
      <c r="N125" s="10">
        <v>0.6948540584382559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H126" s="2"/>
      <c r="I126" s="1"/>
      <c r="J126" s="8">
        <v>0.32658585685206337</v>
      </c>
      <c r="K126" s="9">
        <v>0.6726285486320994</v>
      </c>
      <c r="L126" s="155">
        <v>0.7899711676937864</v>
      </c>
      <c r="M126" s="9">
        <v>0.5606889604760484</v>
      </c>
      <c r="N126" s="10">
        <v>0.7956969047595855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H127" s="2"/>
      <c r="I127" s="1"/>
      <c r="J127" s="11">
        <v>0.6242537580245121</v>
      </c>
      <c r="K127" s="12">
        <v>0.9930360046622648</v>
      </c>
      <c r="L127" s="156">
        <v>0.800464084427956</v>
      </c>
      <c r="M127" s="12">
        <v>1.173423742095643</v>
      </c>
      <c r="N127" s="13">
        <v>0.7354989963996819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H128" s="2"/>
      <c r="I128" s="1"/>
      <c r="J128" s="2"/>
      <c r="K128" s="2"/>
      <c r="L128" s="14" t="s">
        <v>2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H129" s="2"/>
      <c r="I129" s="4" t="s">
        <v>13</v>
      </c>
      <c r="J129" s="5">
        <f t="array" ref="J129:N133">J123:N127+J109:N113</f>
        <v>1.236982494</v>
      </c>
      <c r="K129" s="6">
        <v>0.700286424649346</v>
      </c>
      <c r="L129" s="6">
        <v>0.8482873300433007</v>
      </c>
      <c r="M129" s="6">
        <v>1.2367535007080392</v>
      </c>
      <c r="N129" s="7">
        <v>0.8164562237446608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H130" s="2"/>
      <c r="I130" s="1"/>
      <c r="J130" s="8">
        <v>1.2664588705375408</v>
      </c>
      <c r="K130" s="9">
        <v>1.1260199803599407</v>
      </c>
      <c r="L130" s="9">
        <v>1.2671369191314215</v>
      </c>
      <c r="M130" s="9">
        <v>0.9468708882484703</v>
      </c>
      <c r="N130" s="10">
        <v>1.0598840412490924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H131" s="2"/>
      <c r="I131" s="1"/>
      <c r="J131" s="8">
        <v>1.0317394042146382</v>
      </c>
      <c r="K131" s="9">
        <v>1.8689636646028707</v>
      </c>
      <c r="L131" s="9">
        <v>1.7199120536142607</v>
      </c>
      <c r="M131" s="9">
        <v>1.5957276502776958</v>
      </c>
      <c r="N131" s="10">
        <v>1.076930615806823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H132" s="2"/>
      <c r="I132" s="1"/>
      <c r="J132" s="8">
        <v>0.800811743309294</v>
      </c>
      <c r="K132" s="9">
        <v>1.1346224947093917</v>
      </c>
      <c r="L132" s="9">
        <v>0.8776106813224016</v>
      </c>
      <c r="M132" s="9">
        <v>1.041630563869122</v>
      </c>
      <c r="N132" s="10">
        <v>1.6653119161636705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H133" s="2"/>
      <c r="I133" s="1"/>
      <c r="J133" s="11">
        <v>1.2715251161858983</v>
      </c>
      <c r="K133" s="12">
        <v>1.8399132633679087</v>
      </c>
      <c r="L133" s="12">
        <v>1.7069316972557864</v>
      </c>
      <c r="M133" s="12">
        <v>1.5479627105517628</v>
      </c>
      <c r="N133" s="13">
        <v>1.135565141808927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</sheetData>
  <mergeCells count="6">
    <mergeCell ref="A2:Z2"/>
    <mergeCell ref="A16:Z16"/>
    <mergeCell ref="A31:Z31"/>
    <mergeCell ref="A52:Z52"/>
    <mergeCell ref="A85:Z85"/>
    <mergeCell ref="A106:Z106"/>
  </mergeCells>
  <conditionalFormatting sqref="C4:G8 C10:G14 J10:O14 C18:G22 P21:P25 C24:G28 J24:N28 I34:N38 C40:G44 J40:O44 I46:N50 H53:I56 J53:L59 M55:N59 C61:G65 J61:N65 C67:G71 J67:N71 I87:N92 C94:G98 I94:I95 J94:N98 I97:I98 J100:S104 J109:N113 C115:G119 J115:N119 J123:N127 J129:N133">
    <cfRule type="colorScale" priority="1">
      <colorScale>
        <cfvo type="min"/>
        <cfvo type="max"/>
        <color rgb="FFFFFFFF"/>
        <color rgb="FFFFD666"/>
      </colorScale>
    </cfRule>
  </conditionalFormatting>
  <conditionalFormatting sqref="J73:N77">
    <cfRule type="colorScale" priority="2">
      <colorScale>
        <cfvo type="min"/>
        <cfvo type="max"/>
        <color rgb="FFFFFFFF"/>
        <color rgb="FFFFD666"/>
      </colorScale>
    </cfRule>
  </conditionalFormatting>
  <conditionalFormatting sqref="J79:N83">
    <cfRule type="colorScale" priority="3">
      <colorScale>
        <cfvo type="min"/>
        <cfvo type="max"/>
        <color rgb="FFFFFFFF"/>
        <color rgb="FFFFD666"/>
      </colorScale>
    </cfRule>
  </conditionalFormatting>
  <drawing r:id="rId1"/>
</worksheet>
</file>