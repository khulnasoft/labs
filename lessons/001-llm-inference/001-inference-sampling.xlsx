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 Answers" sheetId="1" r:id="rId5"/>
    <sheet state="visible" name="w Answers" sheetId="2" r:id="rId6"/>
  </sheets>
  <definedNames/>
  <calcPr/>
</workbook>
</file>

<file path=xl/sharedStrings.xml><?xml version="1.0" encoding="utf-8"?>
<sst xmlns="http://schemas.openxmlformats.org/spreadsheetml/2006/main" count="154" uniqueCount="47">
  <si>
    <t>Probabilities for: "The currency of the United States is the "</t>
  </si>
  <si>
    <t>token</t>
  </si>
  <si>
    <t>probability</t>
  </si>
  <si>
    <t>dollar</t>
  </si>
  <si>
    <t>yen</t>
  </si>
  <si>
    <t>silver</t>
  </si>
  <si>
    <t>gold</t>
  </si>
  <si>
    <t>pound</t>
  </si>
  <si>
    <t>paper</t>
  </si>
  <si>
    <t>Weighted sampling</t>
  </si>
  <si>
    <t>Sampled token</t>
  </si>
  <si>
    <t>➡</t>
  </si>
  <si>
    <t>green</t>
  </si>
  <si>
    <t>euro</t>
  </si>
  <si>
    <t xml:space="preserve">same </t>
  </si>
  <si>
    <t>dollars</t>
  </si>
  <si>
    <t>federal</t>
  </si>
  <si>
    <t>$</t>
  </si>
  <si>
    <t>legal</t>
  </si>
  <si>
    <t>America</t>
  </si>
  <si>
    <t>currency</t>
  </si>
  <si>
    <t>U</t>
  </si>
  <si>
    <t>......</t>
  </si>
  <si>
    <t xml:space="preserve">50000 more words </t>
  </si>
  <si>
    <t xml:space="preserve">Sampling: Top-K </t>
  </si>
  <si>
    <t>[FILL]</t>
  </si>
  <si>
    <t>[Fill]</t>
  </si>
  <si>
    <t xml:space="preserve">probability </t>
  </si>
  <si>
    <t>Top-K</t>
  </si>
  <si>
    <t>SoftMax</t>
  </si>
  <si>
    <t xml:space="preserve">items </t>
  </si>
  <si>
    <t>original</t>
  </si>
  <si>
    <t>Sampling: Top-P</t>
  </si>
  <si>
    <t>cumulative</t>
  </si>
  <si>
    <t>Top-P</t>
  </si>
  <si>
    <t xml:space="preserve">Sampling: Temprature </t>
  </si>
  <si>
    <t>Temp</t>
  </si>
  <si>
    <t>Exp(Prob/Temp)</t>
  </si>
  <si>
    <t xml:space="preserve">Sum </t>
  </si>
  <si>
    <t>Output</t>
  </si>
  <si>
    <t>[Fill</t>
  </si>
  <si>
    <t>Playground:</t>
  </si>
  <si>
    <t>1. Change temp to 0.5 -&gt; values are more polarized</t>
  </si>
  <si>
    <t xml:space="preserve">2. change temp to 4 -&gt; values are more uniform </t>
  </si>
  <si>
    <t>Temp=0.5</t>
  </si>
  <si>
    <t>Original</t>
  </si>
  <si>
    <t>Temp=2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</si>
</sst>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9" xfId="0" applyAlignment="1" applyFont="1" applyNumberFormat="1">
      <alignment horizontal="left" readingOrder="0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horizontal="left" readingOrder="0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Font="1"/>
    <xf borderId="0" fillId="0" fontId="3" numFmtId="164" xfId="0" applyAlignment="1" applyFont="1" applyNumberFormat="1">
      <alignment horizontal="left" readingOrder="0"/>
    </xf>
    <xf borderId="0" fillId="0" fontId="1" numFmtId="164" xfId="0" applyAlignment="1" applyFont="1" applyNumberFormat="1">
      <alignment horizontal="left" readingOrder="0" vertical="bottom"/>
    </xf>
    <xf borderId="0" fillId="0" fontId="1" numFmtId="10" xfId="0" applyAlignment="1" applyFont="1" applyNumberFormat="1">
      <alignment readingOrder="0" vertical="bottom"/>
    </xf>
    <xf borderId="0" fillId="0" fontId="1" numFmtId="10" xfId="0" applyAlignment="1" applyFont="1" applyNumberFormat="1">
      <alignment vertical="bottom"/>
    </xf>
    <xf borderId="0" fillId="0" fontId="4" numFmtId="0" xfId="0" applyAlignment="1" applyFont="1">
      <alignment readingOrder="0" vertical="bottom"/>
    </xf>
    <xf borderId="1" fillId="0" fontId="3" numFmtId="3" xfId="0" applyAlignment="1" applyBorder="1" applyFont="1" applyNumberFormat="1">
      <alignment horizontal="left" readingOrder="0"/>
    </xf>
    <xf borderId="0" fillId="0" fontId="1" numFmtId="9" xfId="0" applyAlignment="1" applyFont="1" applyNumberFormat="1">
      <alignment vertical="bottom"/>
    </xf>
    <xf borderId="0" fillId="0" fontId="3" numFmtId="10" xfId="0" applyFont="1" applyNumberFormat="1"/>
    <xf borderId="0" fillId="0" fontId="3" numFmtId="9" xfId="0" applyFont="1" applyNumberFormat="1"/>
    <xf borderId="1" fillId="0" fontId="3" numFmtId="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 vertical="bottom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probability vs. token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'wo Answers'!$B$5:$B$10</c:f>
            </c:strRef>
          </c:cat>
          <c:val>
            <c:numRef>
              <c:f>'wo Answers'!$C$5:$C$10</c:f>
              <c:numCache/>
            </c:numRef>
          </c:val>
        </c:ser>
        <c:axId val="300864563"/>
        <c:axId val="1903588380"/>
      </c:barChart>
      <c:catAx>
        <c:axId val="3008645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token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3588380"/>
      </c:catAx>
      <c:valAx>
        <c:axId val="19035883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probability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08645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probability vs. token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'w Answers'!$B$5:$B$10</c:f>
            </c:strRef>
          </c:cat>
          <c:val>
            <c:numRef>
              <c:f>'w Answers'!$C$5:$C$10</c:f>
              <c:numCache/>
            </c:numRef>
          </c:val>
        </c:ser>
        <c:axId val="1466780798"/>
        <c:axId val="1553298963"/>
      </c:barChart>
      <c:catAx>
        <c:axId val="14667807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token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298963"/>
      </c:catAx>
      <c:valAx>
        <c:axId val="15532989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probability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67807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3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295275</xdr:colOff>
      <xdr:row>3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 t="s">
        <v>1</v>
      </c>
      <c r="C4" s="4" t="s">
        <v>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5" t="s">
        <v>3</v>
      </c>
      <c r="C5" s="6">
        <v>0.4</v>
      </c>
      <c r="D5" s="3" t="str">
        <f>IFERROR(__xludf.DUMMYFUNCTION("SPARKLINE(C5, {""charttype"",""bar""; ""max"", MAX(C5:C10)})"),"")</f>
        <v/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7" t="s">
        <v>4</v>
      </c>
      <c r="C6" s="6">
        <v>0.2</v>
      </c>
      <c r="D6" s="3" t="str">
        <f>IFERROR(__xludf.DUMMYFUNCTION("SPARKLINE(C6, {""charttype"",""bar""; ""max"", MAX(C$92:C$97)})"),"")</f>
        <v/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5" t="s">
        <v>5</v>
      </c>
      <c r="C7" s="6">
        <v>0.2</v>
      </c>
      <c r="D7" s="3" t="str">
        <f>IFERROR(__xludf.DUMMYFUNCTION("SPARKLINE(C7, {""charttype"",""bar""; ""max"", MAX(C$92:C$97)})"),"")</f>
        <v/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5" t="s">
        <v>6</v>
      </c>
      <c r="C8" s="6">
        <v>0.1</v>
      </c>
      <c r="D8" s="3" t="str">
        <f>IFERROR(__xludf.DUMMYFUNCTION("SPARKLINE(C8, {""charttype"",""bar""; ""max"", MAX(C$92:C$97)})"),"")</f>
        <v/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5" t="s">
        <v>7</v>
      </c>
      <c r="C9" s="6">
        <v>0.05</v>
      </c>
      <c r="D9" s="3" t="str">
        <f>IFERROR(__xludf.DUMMYFUNCTION("SPARKLINE(C9, {""charttype"",""bar""; ""max"", MAX(C$92:C$97)})"),"")</f>
        <v/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" t="s">
        <v>8</v>
      </c>
      <c r="C10" s="6">
        <v>0.05</v>
      </c>
      <c r="D10" s="3" t="str">
        <f>IFERROR(__xludf.DUMMYFUNCTION("SPARKLINE(C10, {""charttype"",""bar""; ""max"", MAX(C$92:C$97)})"),"")</f>
        <v/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"/>
      <c r="C11" s="8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"/>
      <c r="C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"/>
      <c r="C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"/>
      <c r="C16" s="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"/>
      <c r="C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/>
      <c r="B18" s="5"/>
      <c r="C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"/>
      <c r="C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"/>
      <c r="C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5"/>
      <c r="C21" s="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5"/>
      <c r="C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5"/>
      <c r="C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" t="str">
        <f t="shared" ref="B25:C25" si="1">B4</f>
        <v>token</v>
      </c>
      <c r="C25" s="4" t="str">
        <f t="shared" si="1"/>
        <v>probability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 t="str">
        <f t="shared" ref="B26:C26" si="2">B5</f>
        <v>dollar</v>
      </c>
      <c r="C26" s="6">
        <f t="shared" si="2"/>
        <v>0.4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 t="str">
        <f t="shared" ref="B27:C27" si="3">B6</f>
        <v>yen</v>
      </c>
      <c r="C27" s="6">
        <f t="shared" si="3"/>
        <v>0.2</v>
      </c>
      <c r="E27" s="10" t="s">
        <v>10</v>
      </c>
      <c r="F27" s="3"/>
      <c r="G27" s="1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 t="str">
        <f t="shared" ref="B28:C28" si="4">B7</f>
        <v>silver</v>
      </c>
      <c r="C28" s="6">
        <f t="shared" si="4"/>
        <v>0.2</v>
      </c>
      <c r="D28" s="12" t="s">
        <v>11</v>
      </c>
      <c r="E28" s="13" t="str">
        <f t="array" ref="E28">INDEX(B26:B31, MATCH(RAND(), {0;SCAN(0,C26:C31,LAMBDA(a,b,a+b))}, 1))</f>
        <v>dollar</v>
      </c>
      <c r="F28" s="11"/>
      <c r="G28" s="3"/>
      <c r="H28" s="3"/>
      <c r="I28" s="1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 t="str">
        <f t="shared" ref="B29:C29" si="5">B8</f>
        <v>gold</v>
      </c>
      <c r="C29" s="6">
        <f t="shared" si="5"/>
        <v>0.1</v>
      </c>
      <c r="F29" s="3"/>
      <c r="G29" s="1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 t="str">
        <f t="shared" ref="B30:B31" si="6">B9</f>
        <v>pound</v>
      </c>
      <c r="C30" s="14">
        <v>0.0132</v>
      </c>
      <c r="F30" s="3"/>
      <c r="G30" s="1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 t="str">
        <f t="shared" si="6"/>
        <v>paper</v>
      </c>
      <c r="C31" s="14">
        <v>0.0114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 t="s">
        <v>7</v>
      </c>
      <c r="C32" s="15">
        <v>0.011258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 t="s">
        <v>12</v>
      </c>
      <c r="C33" s="15">
        <v>0.011211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 t="s">
        <v>13</v>
      </c>
      <c r="C34" s="15">
        <v>0.007382</v>
      </c>
      <c r="F34" s="1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 t="s">
        <v>14</v>
      </c>
      <c r="C35" s="15">
        <v>0.007317</v>
      </c>
      <c r="F35" s="1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 t="s">
        <v>15</v>
      </c>
      <c r="C36" s="15">
        <v>0.00599</v>
      </c>
      <c r="F36" s="1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 t="s">
        <v>16</v>
      </c>
      <c r="C37" s="15">
        <v>0.00559</v>
      </c>
      <c r="F37" s="1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 t="s">
        <v>17</v>
      </c>
      <c r="C38" s="15">
        <v>0.005458</v>
      </c>
      <c r="F38" s="1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 t="s">
        <v>18</v>
      </c>
      <c r="C39" s="15">
        <v>0.004858</v>
      </c>
      <c r="F39" s="1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 t="s">
        <v>19</v>
      </c>
      <c r="C40" s="15">
        <v>0.004658</v>
      </c>
      <c r="F40" s="1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 t="s">
        <v>20</v>
      </c>
      <c r="C41" s="15">
        <v>0.004458</v>
      </c>
      <c r="F41" s="1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 t="s">
        <v>21</v>
      </c>
      <c r="C42" s="15">
        <v>0.003453</v>
      </c>
      <c r="F42" s="1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7" t="s">
        <v>22</v>
      </c>
      <c r="C43" s="5"/>
      <c r="F43" s="1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 t="s">
        <v>23</v>
      </c>
      <c r="C44" s="5"/>
      <c r="F44" s="1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/>
      <c r="C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24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D47" s="17" t="str">
        <f>J100</f>
        <v/>
      </c>
      <c r="E47" s="11" t="s">
        <v>25</v>
      </c>
      <c r="F47" s="3"/>
      <c r="G47" s="3"/>
      <c r="H47" s="3"/>
      <c r="I47" s="3"/>
      <c r="J47" s="11" t="s">
        <v>26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4" t="s">
        <v>1</v>
      </c>
      <c r="C48" s="4" t="s">
        <v>27</v>
      </c>
      <c r="E48" s="4" t="s">
        <v>28</v>
      </c>
      <c r="G48" s="4" t="s">
        <v>1</v>
      </c>
      <c r="H48" s="4" t="s">
        <v>27</v>
      </c>
      <c r="I48" s="3"/>
      <c r="J48" s="18" t="s">
        <v>29</v>
      </c>
      <c r="L48" s="3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 t="str">
        <f t="shared" ref="B49:C49" si="7">B92</f>
        <v>dollar</v>
      </c>
      <c r="C49" s="8">
        <f t="shared" si="7"/>
        <v>0.4</v>
      </c>
      <c r="D49" s="17" t="str">
        <f>J102</f>
        <v/>
      </c>
      <c r="E49" s="19"/>
      <c r="G49" s="3" t="str">
        <f t="array" ref="G49">SORT(B49:C54,2,FALSE)</f>
        <v>#REF!</v>
      </c>
      <c r="H49" s="17"/>
      <c r="I49" s="3"/>
      <c r="J49" s="3" t="str">
        <f t="shared" ref="J49:J54" si="9">H49/Sum(H$49:H$54)</f>
        <v>#DIV/0!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 t="str">
        <f t="shared" ref="B50:C50" si="8">B93</f>
        <v>yen</v>
      </c>
      <c r="C50" s="8">
        <f t="shared" si="8"/>
        <v>0.2</v>
      </c>
      <c r="E50" s="11" t="s">
        <v>30</v>
      </c>
      <c r="G50" s="3"/>
      <c r="H50" s="17"/>
      <c r="I50" s="3"/>
      <c r="J50" s="3" t="str">
        <f t="shared" si="9"/>
        <v>#DIV/0!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 t="str">
        <f t="shared" ref="B51:C51" si="10">B94</f>
        <v>silver</v>
      </c>
      <c r="C51" s="8">
        <f t="shared" si="10"/>
        <v>0.2</v>
      </c>
      <c r="D51" s="12" t="s">
        <v>11</v>
      </c>
      <c r="E51" s="3"/>
      <c r="F51" s="12" t="s">
        <v>11</v>
      </c>
      <c r="G51" s="3"/>
      <c r="H51" s="17"/>
      <c r="I51" s="12" t="s">
        <v>11</v>
      </c>
      <c r="J51" s="3" t="str">
        <f t="shared" si="9"/>
        <v>#DIV/0!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 t="str">
        <f t="shared" ref="B52:C52" si="11">B95</f>
        <v>gold</v>
      </c>
      <c r="C52" s="8">
        <f t="shared" si="11"/>
        <v>0.1</v>
      </c>
      <c r="E52" s="3"/>
      <c r="F52" s="3"/>
      <c r="G52" s="3"/>
      <c r="H52" s="17"/>
      <c r="I52" s="3"/>
      <c r="J52" s="3" t="str">
        <f t="shared" si="9"/>
        <v>#DIV/0!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 t="str">
        <f t="shared" ref="B53:C53" si="12">B96</f>
        <v>pound</v>
      </c>
      <c r="C53" s="8">
        <f t="shared" si="12"/>
        <v>0.05</v>
      </c>
      <c r="E53" s="3"/>
      <c r="F53" s="3"/>
      <c r="G53" s="3"/>
      <c r="H53" s="17"/>
      <c r="I53" s="3"/>
      <c r="J53" s="20" t="str">
        <f t="shared" si="9"/>
        <v>#DIV/0!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 t="str">
        <f t="shared" ref="B54:C54" si="13">B97</f>
        <v>paper</v>
      </c>
      <c r="C54" s="8">
        <f t="shared" si="13"/>
        <v>0.05</v>
      </c>
      <c r="E54" s="3"/>
      <c r="F54" s="3"/>
      <c r="G54" s="3"/>
      <c r="H54" s="3"/>
      <c r="I54" s="3"/>
      <c r="J54" s="20" t="str">
        <f t="shared" si="9"/>
        <v>#DIV/0!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C56" s="8" t="str">
        <f>C98</f>
        <v/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4" t="s">
        <v>1</v>
      </c>
      <c r="C57" s="18" t="s">
        <v>31</v>
      </c>
      <c r="E57" s="18" t="str">
        <f>"Top-K = "&amp;E49</f>
        <v>Top-K = 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3" t="str">
        <f t="shared" ref="B58:C58" si="14">B49</f>
        <v>dollar</v>
      </c>
      <c r="C58" s="21">
        <f t="shared" si="14"/>
        <v>0.4</v>
      </c>
      <c r="D58" s="13" t="str">
        <f>IFERROR(__xludf.DUMMYFUNCTION("SPARKLINE(C58, {""charttype"",""bar""; ""max"", SUM(C$58:C$63)})"),"")</f>
        <v/>
      </c>
      <c r="E58" s="13" t="str">
        <f t="shared" ref="E58:E63" si="16">J49</f>
        <v>#DIV/0!</v>
      </c>
      <c r="F58" s="13" t="str">
        <f>IFERROR(__xludf.DUMMYFUNCTION("SPARKLINE(E58, {""charttype"",""bar""; ""max"", SUM(E$58:E$63)})"),"#DIV/0!")</f>
        <v>#DIV/0!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3" t="str">
        <f t="shared" ref="B59:C59" si="15">B50</f>
        <v>yen</v>
      </c>
      <c r="C59" s="21">
        <f t="shared" si="15"/>
        <v>0.2</v>
      </c>
      <c r="D59" s="13" t="str">
        <f>IFERROR(__xludf.DUMMYFUNCTION("SPARKLINE(C59, {""charttype"",""bar""; ""max"", SUM(C$58:C$63)})"),"")</f>
        <v/>
      </c>
      <c r="E59" s="13" t="str">
        <f t="shared" si="16"/>
        <v>#DIV/0!</v>
      </c>
      <c r="F59" s="13" t="str">
        <f>IFERROR(__xludf.DUMMYFUNCTION("SPARKLINE(E59, {""charttype"",""bar""; ""max"", SUM(E$58:E$63)})"),"#DIV/0!")</f>
        <v>#DIV/0!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3" t="str">
        <f t="shared" ref="B60:C60" si="17">B51</f>
        <v>silver</v>
      </c>
      <c r="C60" s="21">
        <f t="shared" si="17"/>
        <v>0.2</v>
      </c>
      <c r="D60" s="13" t="str">
        <f>IFERROR(__xludf.DUMMYFUNCTION("SPARKLINE(C60, {""charttype"",""bar""; ""max"", SUM(C$58:C$63)})"),"")</f>
        <v/>
      </c>
      <c r="E60" s="13" t="str">
        <f t="shared" si="16"/>
        <v>#DIV/0!</v>
      </c>
      <c r="F60" s="13" t="str">
        <f>IFERROR(__xludf.DUMMYFUNCTION("SPARKLINE(E60, {""charttype"",""bar""; ""max"", SUM(E$58:E$63)})"),"#DIV/0!")</f>
        <v>#DIV/0!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3" t="str">
        <f t="shared" ref="B61:C61" si="18">B52</f>
        <v>gold</v>
      </c>
      <c r="C61" s="21">
        <f t="shared" si="18"/>
        <v>0.1</v>
      </c>
      <c r="D61" s="13" t="str">
        <f>IFERROR(__xludf.DUMMYFUNCTION("SPARKLINE(C61, {""charttype"",""bar""; ""max"", SUM(C$58:C$63)})"),"")</f>
        <v/>
      </c>
      <c r="E61" s="13" t="str">
        <f t="shared" si="16"/>
        <v>#DIV/0!</v>
      </c>
      <c r="F61" s="13" t="str">
        <f>IFERROR(__xludf.DUMMYFUNCTION("SPARKLINE(E61, {""charttype"",""bar""; ""max"", SUM(E$58:E$63)})"),"#DIV/0!")</f>
        <v>#DIV/0!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3" t="str">
        <f t="shared" ref="B62:C62" si="19">B53</f>
        <v>pound</v>
      </c>
      <c r="C62" s="21">
        <f t="shared" si="19"/>
        <v>0.05</v>
      </c>
      <c r="D62" s="13" t="str">
        <f>IFERROR(__xludf.DUMMYFUNCTION("SPARKLINE(C62, {""charttype"",""bar""; ""max"", SUM(C$58:C$63)})"),"")</f>
        <v/>
      </c>
      <c r="E62" s="22" t="str">
        <f t="shared" si="16"/>
        <v>#DIV/0!</v>
      </c>
      <c r="F62" s="13" t="str">
        <f>IFERROR(__xludf.DUMMYFUNCTION("SPARKLINE(E62, {""charttype"",""bar""; ""max"", SUM(E$58:E$63)})"),"#DIV/0!")</f>
        <v>#DIV/0!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3" t="str">
        <f t="shared" ref="B63:C63" si="20">B54</f>
        <v>paper</v>
      </c>
      <c r="C63" s="21">
        <f t="shared" si="20"/>
        <v>0.05</v>
      </c>
      <c r="D63" s="13" t="str">
        <f>IFERROR(__xludf.DUMMYFUNCTION("SPARKLINE(C63, {""charttype"",""bar""; ""max"", SUM(C$58:C$63)})"),"")</f>
        <v/>
      </c>
      <c r="E63" s="22" t="str">
        <f t="shared" si="16"/>
        <v>#DIV/0!</v>
      </c>
      <c r="F63" s="13" t="str">
        <f>IFERROR(__xludf.DUMMYFUNCTION("SPARKLINE(E63, {""charttype"",""bar""; ""max"", SUM(E$58:E$63)})"),"#DIV/0!")</f>
        <v>#DIV/0!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32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11" t="s">
        <v>25</v>
      </c>
      <c r="I68" s="3"/>
      <c r="J68" s="3"/>
      <c r="K68" s="3"/>
      <c r="L68" s="3"/>
      <c r="M68" s="11" t="s">
        <v>26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4" t="s">
        <v>1</v>
      </c>
      <c r="C69" s="4" t="s">
        <v>27</v>
      </c>
      <c r="E69" s="4" t="s">
        <v>1</v>
      </c>
      <c r="F69" s="10" t="s">
        <v>33</v>
      </c>
      <c r="H69" s="4" t="s">
        <v>34</v>
      </c>
      <c r="J69" s="4" t="s">
        <v>1</v>
      </c>
      <c r="K69" s="4" t="s">
        <v>27</v>
      </c>
      <c r="L69" s="3"/>
      <c r="M69" s="18" t="s">
        <v>29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 t="str">
        <f t="shared" ref="B70:C70" si="21">B92</f>
        <v>dollar</v>
      </c>
      <c r="C70" s="8">
        <f t="shared" si="21"/>
        <v>0.4</v>
      </c>
      <c r="E70" s="13" t="str">
        <f t="shared" ref="E70:E75" si="23">B70</f>
        <v>dollar</v>
      </c>
      <c r="F70" s="21">
        <f>SUM(C70)</f>
        <v>0.4</v>
      </c>
      <c r="G70" s="3" t="str">
        <f>J56</f>
        <v/>
      </c>
      <c r="H70" s="23"/>
      <c r="J70" s="3" t="str">
        <f t="array" ref="J70:K70">B70:C75</f>
        <v>dollar</v>
      </c>
      <c r="K70" s="17">
        <v>0.4</v>
      </c>
      <c r="L70" s="3"/>
      <c r="M70" s="20">
        <f t="shared" ref="M70:M75" si="24">K70/Sum(K$70:K$75)</f>
        <v>1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 t="str">
        <f t="shared" ref="B71:C71" si="22">B93</f>
        <v>yen</v>
      </c>
      <c r="C71" s="8">
        <f t="shared" si="22"/>
        <v>0.2</v>
      </c>
      <c r="E71" s="13" t="str">
        <f t="shared" si="23"/>
        <v>yen</v>
      </c>
      <c r="F71" s="21">
        <f>SUM(C70,C71)</f>
        <v>0.6</v>
      </c>
      <c r="H71" s="11"/>
      <c r="J71" s="3"/>
      <c r="K71" s="3"/>
      <c r="L71" s="3"/>
      <c r="M71" s="3">
        <f t="shared" si="24"/>
        <v>0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 t="str">
        <f t="shared" ref="B72:C72" si="25">B94</f>
        <v>silver</v>
      </c>
      <c r="C72" s="8">
        <f t="shared" si="25"/>
        <v>0.2</v>
      </c>
      <c r="D72" s="12" t="s">
        <v>11</v>
      </c>
      <c r="E72" s="13" t="str">
        <f t="shared" si="23"/>
        <v>silver</v>
      </c>
      <c r="F72" s="21">
        <f>sum(C70:C72)</f>
        <v>0.8</v>
      </c>
      <c r="G72" s="12" t="s">
        <v>11</v>
      </c>
      <c r="H72" s="3"/>
      <c r="I72" s="12" t="s">
        <v>11</v>
      </c>
      <c r="J72" s="3"/>
      <c r="K72" s="3"/>
      <c r="L72" s="12" t="s">
        <v>11</v>
      </c>
      <c r="M72" s="3">
        <f t="shared" si="24"/>
        <v>0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 t="str">
        <f t="shared" ref="B73:C73" si="26">B95</f>
        <v>gold</v>
      </c>
      <c r="C73" s="8">
        <f t="shared" si="26"/>
        <v>0.1</v>
      </c>
      <c r="D73" s="3"/>
      <c r="E73" s="13" t="str">
        <f t="shared" si="23"/>
        <v>gold</v>
      </c>
      <c r="F73" s="17">
        <f>SUM(C70:C73)</f>
        <v>0.9</v>
      </c>
      <c r="G73" s="3"/>
      <c r="H73" s="3"/>
      <c r="I73" s="3"/>
      <c r="J73" s="3"/>
      <c r="K73" s="3"/>
      <c r="L73" s="3"/>
      <c r="M73" s="3">
        <f t="shared" si="24"/>
        <v>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 t="str">
        <f t="shared" ref="B74:C74" si="27">B96</f>
        <v>pound</v>
      </c>
      <c r="C74" s="8">
        <f t="shared" si="27"/>
        <v>0.05</v>
      </c>
      <c r="D74" s="3"/>
      <c r="E74" s="13" t="str">
        <f t="shared" si="23"/>
        <v>pound</v>
      </c>
      <c r="F74" s="17">
        <f>SUM(C70:C74)</f>
        <v>0.95</v>
      </c>
      <c r="G74" s="3"/>
      <c r="H74" s="3"/>
      <c r="I74" s="3"/>
      <c r="J74" s="3"/>
      <c r="K74" s="3"/>
      <c r="L74" s="3"/>
      <c r="M74" s="3">
        <f t="shared" si="24"/>
        <v>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 t="str">
        <f t="shared" ref="B75:C75" si="28">B97</f>
        <v>paper</v>
      </c>
      <c r="C75" s="8">
        <f t="shared" si="28"/>
        <v>0.05</v>
      </c>
      <c r="D75" s="3"/>
      <c r="E75" s="13" t="str">
        <f t="shared" si="23"/>
        <v>paper</v>
      </c>
      <c r="F75" s="17">
        <f>SUM(C70:C75)</f>
        <v>1</v>
      </c>
      <c r="G75" s="3"/>
      <c r="H75" s="3"/>
      <c r="I75" s="3"/>
      <c r="J75" s="3"/>
      <c r="K75" s="3"/>
      <c r="L75" s="3"/>
      <c r="M75" s="3">
        <f t="shared" si="24"/>
        <v>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4" t="s">
        <v>1</v>
      </c>
      <c r="C78" s="18" t="s">
        <v>31</v>
      </c>
      <c r="E78" s="18" t="str">
        <f>"Top-P = "&amp;H70*100&amp;"%"</f>
        <v>Top-P = 0%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3" t="str">
        <f t="shared" ref="B79:C79" si="29">B70</f>
        <v>dollar</v>
      </c>
      <c r="C79" s="21">
        <f t="shared" si="29"/>
        <v>0.4</v>
      </c>
      <c r="D79" s="13" t="str">
        <f>IFERROR(__xludf.DUMMYFUNCTION("SPARKLINE(C79, {""charttype"",""bar""; ""max"", SUM(C$58:C$63)})"),"")</f>
        <v/>
      </c>
      <c r="E79" s="22">
        <f t="shared" ref="E79:E84" si="31">M70</f>
        <v>1</v>
      </c>
      <c r="F79" s="13" t="str">
        <f>IFERROR(__xludf.DUMMYFUNCTION("SPARKLINE(E79, {""charttype"",""bar""; ""max"", SUM(E$58:E$63)})"),"#DIV/0!")</f>
        <v>#DIV/0!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3" t="str">
        <f t="shared" ref="B80:C80" si="30">B71</f>
        <v>yen</v>
      </c>
      <c r="C80" s="21">
        <f t="shared" si="30"/>
        <v>0.2</v>
      </c>
      <c r="D80" s="13" t="str">
        <f>IFERROR(__xludf.DUMMYFUNCTION("SPARKLINE(C80, {""charttype"",""bar""; ""max"", SUM(C$58:C$63)})"),"")</f>
        <v/>
      </c>
      <c r="E80" s="13">
        <f t="shared" si="31"/>
        <v>0</v>
      </c>
      <c r="F80" s="13" t="str">
        <f>IFERROR(__xludf.DUMMYFUNCTION("SPARKLINE(E80, {""charttype"",""bar""; ""max"", SUM(E$58:E$63)})"),"#DIV/0!")</f>
        <v>#DIV/0!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3" t="str">
        <f t="shared" ref="B81:C81" si="32">B72</f>
        <v>silver</v>
      </c>
      <c r="C81" s="21">
        <f t="shared" si="32"/>
        <v>0.2</v>
      </c>
      <c r="D81" s="13" t="str">
        <f>IFERROR(__xludf.DUMMYFUNCTION("SPARKLINE(C81, {""charttype"",""bar""; ""max"", SUM(C$58:C$63)})"),"")</f>
        <v/>
      </c>
      <c r="E81" s="13">
        <f t="shared" si="31"/>
        <v>0</v>
      </c>
      <c r="F81" s="13" t="str">
        <f>IFERROR(__xludf.DUMMYFUNCTION("SPARKLINE(E81, {""charttype"",""bar""; ""max"", SUM(E$58:E$63)})"),"#DIV/0!")</f>
        <v>#DIV/0!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3" t="str">
        <f t="shared" ref="B82:C82" si="33">B73</f>
        <v>gold</v>
      </c>
      <c r="C82" s="21">
        <f t="shared" si="33"/>
        <v>0.1</v>
      </c>
      <c r="D82" s="13" t="str">
        <f>IFERROR(__xludf.DUMMYFUNCTION("SPARKLINE(C82, {""charttype"",""bar""; ""max"", SUM(C$58:C$63)})"),"")</f>
        <v/>
      </c>
      <c r="E82" s="13">
        <f t="shared" si="31"/>
        <v>0</v>
      </c>
      <c r="F82" s="13" t="str">
        <f>IFERROR(__xludf.DUMMYFUNCTION("SPARKLINE(E82, {""charttype"",""bar""; ""max"", SUM(E$58:E$63)})"),"#DIV/0!")</f>
        <v>#DIV/0!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3" t="str">
        <f t="shared" ref="B83:C83" si="34">B74</f>
        <v>pound</v>
      </c>
      <c r="C83" s="21">
        <f t="shared" si="34"/>
        <v>0.05</v>
      </c>
      <c r="D83" s="13" t="str">
        <f>IFERROR(__xludf.DUMMYFUNCTION("SPARKLINE(C83, {""charttype"",""bar""; ""max"", SUM(C$58:C$63)})"),"")</f>
        <v/>
      </c>
      <c r="E83" s="13">
        <f t="shared" si="31"/>
        <v>0</v>
      </c>
      <c r="F83" s="13" t="str">
        <f>IFERROR(__xludf.DUMMYFUNCTION("SPARKLINE(E83, {""charttype"",""bar""; ""max"", SUM(E$58:E$63)})"),"#DIV/0!")</f>
        <v>#DIV/0!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3" t="str">
        <f t="shared" ref="B84:C84" si="35">B75</f>
        <v>paper</v>
      </c>
      <c r="C84" s="21">
        <f t="shared" si="35"/>
        <v>0.05</v>
      </c>
      <c r="D84" s="13" t="str">
        <f>IFERROR(__xludf.DUMMYFUNCTION("SPARKLINE(C84, {""charttype"",""bar""; ""max"", SUM(C$58:C$63)})"),"")</f>
        <v/>
      </c>
      <c r="E84" s="13">
        <f t="shared" si="31"/>
        <v>0</v>
      </c>
      <c r="F84" s="13" t="str">
        <f>IFERROR(__xludf.DUMMYFUNCTION("SPARKLINE(E84, {""charttype"",""bar""; ""max"", SUM(E$58:E$63)})"),"#DIV/0!")</f>
        <v>#DIV/0!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 t="s">
        <v>35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8" t="s">
        <v>36</v>
      </c>
      <c r="C89" s="24">
        <v>1.0</v>
      </c>
      <c r="D89" s="3"/>
      <c r="E89" s="1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11"/>
      <c r="D90" s="3"/>
      <c r="E90" s="11" t="s">
        <v>25</v>
      </c>
      <c r="F90" s="3"/>
      <c r="G90" s="3"/>
      <c r="H90" s="11"/>
      <c r="I90" s="3"/>
      <c r="J90" s="11" t="s">
        <v>25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4" t="s">
        <v>1</v>
      </c>
      <c r="C91" s="4" t="s">
        <v>27</v>
      </c>
      <c r="D91" s="3"/>
      <c r="E91" s="18" t="s">
        <v>37</v>
      </c>
      <c r="F91" s="3"/>
      <c r="G91" s="3"/>
      <c r="H91" s="18" t="s">
        <v>38</v>
      </c>
      <c r="I91" s="3"/>
      <c r="J91" s="18" t="s">
        <v>39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 t="str">
        <f t="shared" ref="B92:C92" si="36">B5</f>
        <v>dollar</v>
      </c>
      <c r="C92" s="8">
        <f t="shared" si="36"/>
        <v>0.4</v>
      </c>
      <c r="D92" s="3"/>
      <c r="E92" s="20"/>
      <c r="F92" s="3"/>
      <c r="G92" s="3"/>
      <c r="H92" s="20">
        <f>SUM(E92:E97)</f>
        <v>0</v>
      </c>
      <c r="I92" s="3"/>
      <c r="J92" s="17"/>
      <c r="K92" s="3" t="str">
        <f>IFERROR(__xludf.DUMMYFUNCTION("SPARKLINE(J92, {""charttype"",""bar""; ""max"", SUM(J$92:J$97)})"),"#N/A")</f>
        <v>#N/A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 t="str">
        <f t="shared" ref="B93:C93" si="37">B6</f>
        <v>yen</v>
      </c>
      <c r="C93" s="8">
        <f t="shared" si="37"/>
        <v>0.2</v>
      </c>
      <c r="D93" s="3"/>
      <c r="E93" s="20"/>
      <c r="F93" s="3"/>
      <c r="H93" s="3"/>
      <c r="I93" s="3"/>
      <c r="J93" s="17"/>
      <c r="K93" s="3" t="str">
        <f>IFERROR(__xludf.DUMMYFUNCTION("SPARKLINE(J93, {""charttype"",""bar""; ""max"", SUM(J$92:J$97)})"),"#N/A")</f>
        <v>#N/A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 t="str">
        <f t="shared" ref="B94:C94" si="38">B7</f>
        <v>silver</v>
      </c>
      <c r="C94" s="8">
        <f t="shared" si="38"/>
        <v>0.2</v>
      </c>
      <c r="D94" s="12" t="s">
        <v>11</v>
      </c>
      <c r="E94" s="20"/>
      <c r="F94" s="3"/>
      <c r="G94" s="12" t="s">
        <v>11</v>
      </c>
      <c r="H94" s="3"/>
      <c r="I94" s="12" t="s">
        <v>11</v>
      </c>
      <c r="J94" s="17"/>
      <c r="K94" s="3" t="str">
        <f>IFERROR(__xludf.DUMMYFUNCTION("SPARKLINE(J94, {""charttype"",""bar""; ""max"", SUM(J$92:J$97)})"),"#N/A")</f>
        <v>#N/A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 t="str">
        <f t="shared" ref="B95:C95" si="39">B8</f>
        <v>gold</v>
      </c>
      <c r="C95" s="8">
        <f t="shared" si="39"/>
        <v>0.1</v>
      </c>
      <c r="D95" s="3"/>
      <c r="E95" s="20"/>
      <c r="F95" s="3"/>
      <c r="G95" s="3"/>
      <c r="H95" s="3"/>
      <c r="I95" s="3"/>
      <c r="J95" s="17"/>
      <c r="K95" s="3" t="str">
        <f>IFERROR(__xludf.DUMMYFUNCTION("SPARKLINE(J95, {""charttype"",""bar""; ""max"", SUM(J$92:J$97)})"),"#N/A")</f>
        <v>#N/A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 t="str">
        <f t="shared" ref="B96:C96" si="40">B9</f>
        <v>pound</v>
      </c>
      <c r="C96" s="8">
        <f t="shared" si="40"/>
        <v>0.05</v>
      </c>
      <c r="D96" s="3"/>
      <c r="E96" s="20"/>
      <c r="F96" s="3"/>
      <c r="G96" s="3"/>
      <c r="H96" s="3"/>
      <c r="I96" s="3"/>
      <c r="J96" s="17"/>
      <c r="K96" s="3" t="str">
        <f>IFERROR(__xludf.DUMMYFUNCTION("SPARKLINE(J96, {""charttype"",""bar""; ""max"", SUM(J$92:J$97)})"),"#N/A")</f>
        <v>#N/A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 t="str">
        <f t="shared" ref="B97:C97" si="41">B10</f>
        <v>paper</v>
      </c>
      <c r="C97" s="8">
        <f t="shared" si="41"/>
        <v>0.05</v>
      </c>
      <c r="D97" s="3"/>
      <c r="E97" s="20"/>
      <c r="F97" s="3"/>
      <c r="G97" s="3"/>
      <c r="H97" s="3"/>
      <c r="I97" s="3"/>
      <c r="J97" s="17"/>
      <c r="K97" s="3" t="str">
        <f>IFERROR(__xludf.DUMMYFUNCTION("SPARKLINE(J97, {""charttype"",""bar""; ""max"", SUM(J$92:J$97)})"),"#N/A")</f>
        <v>#N/A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/>
      <c r="C98" s="8"/>
      <c r="D98" s="3"/>
      <c r="E98" s="3"/>
      <c r="F98" s="3"/>
      <c r="G98" s="3"/>
      <c r="H98" s="3"/>
      <c r="I98" s="3"/>
      <c r="J98" s="1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4"/>
      <c r="C99" s="4"/>
      <c r="E99" s="3"/>
      <c r="F99" s="18"/>
      <c r="G99" s="3"/>
      <c r="H99" s="3"/>
      <c r="I99" s="3"/>
      <c r="J99" s="1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 t="s">
        <v>41</v>
      </c>
      <c r="C100" s="8"/>
      <c r="E100" s="3"/>
      <c r="F100" s="3"/>
      <c r="G100" s="3"/>
      <c r="H100" s="3"/>
      <c r="I100" s="3"/>
      <c r="J100" s="1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 t="s">
        <v>42</v>
      </c>
      <c r="C101" s="8"/>
      <c r="E101" s="3"/>
      <c r="F101" s="3"/>
      <c r="G101" s="3"/>
      <c r="H101" s="3"/>
      <c r="I101" s="3"/>
      <c r="J101" s="1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 t="s">
        <v>43</v>
      </c>
      <c r="C102" s="8"/>
      <c r="E102" s="3"/>
      <c r="F102" s="3"/>
      <c r="G102" s="3"/>
      <c r="H102" s="3"/>
      <c r="I102" s="3"/>
      <c r="J102" s="1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/>
      <c r="C103" s="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 t="s">
        <v>44</v>
      </c>
      <c r="C104" s="8"/>
      <c r="D104" s="5" t="s">
        <v>45</v>
      </c>
      <c r="E104" s="3"/>
      <c r="F104" s="11" t="s">
        <v>46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3"/>
      <c r="C105" s="8"/>
      <c r="D105" s="2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3"/>
      <c r="D106" s="2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3"/>
      <c r="D107" s="2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3"/>
      <c r="D108" s="2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3"/>
      <c r="D109" s="2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3"/>
      <c r="D110" s="2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/>
      <c r="C112" s="8"/>
      <c r="D112" s="17" t="str">
        <f>J98</f>
        <v/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4" t="s">
        <v>1</v>
      </c>
      <c r="C4" s="4" t="s">
        <v>2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5" t="s">
        <v>3</v>
      </c>
      <c r="C5" s="6">
        <v>0.4</v>
      </c>
      <c r="D5" s="3" t="str">
        <f>IFERROR(__xludf.DUMMYFUNCTION("SPARKLINE(C5, {""charttype"",""bar""; ""max"", MAX(C5:C10)})"),"")</f>
        <v/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7" t="s">
        <v>4</v>
      </c>
      <c r="C6" s="6">
        <v>0.2</v>
      </c>
      <c r="D6" s="3" t="str">
        <f>IFERROR(__xludf.DUMMYFUNCTION("SPARKLINE(C6, {""charttype"",""bar""; ""max"", MAX(C$92:C$97)})"),"")</f>
        <v/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5" t="s">
        <v>5</v>
      </c>
      <c r="C7" s="6">
        <v>0.2</v>
      </c>
      <c r="D7" s="3" t="str">
        <f>IFERROR(__xludf.DUMMYFUNCTION("SPARKLINE(C7, {""charttype"",""bar""; ""max"", MAX(C$92:C$97)})"),"")</f>
        <v/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5" t="s">
        <v>6</v>
      </c>
      <c r="C8" s="6">
        <v>0.1</v>
      </c>
      <c r="D8" s="3" t="str">
        <f>IFERROR(__xludf.DUMMYFUNCTION("SPARKLINE(C8, {""charttype"",""bar""; ""max"", MAX(C$92:C$97)})"),"")</f>
        <v/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5" t="s">
        <v>7</v>
      </c>
      <c r="C9" s="6">
        <v>0.05</v>
      </c>
      <c r="D9" s="3" t="str">
        <f>IFERROR(__xludf.DUMMYFUNCTION("SPARKLINE(C9, {""charttype"",""bar""; ""max"", MAX(C$92:C$97)})"),"")</f>
        <v/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5" t="s">
        <v>8</v>
      </c>
      <c r="C10" s="6">
        <v>0.05</v>
      </c>
      <c r="D10" s="3" t="str">
        <f>IFERROR(__xludf.DUMMYFUNCTION("SPARKLINE(C10, {""charttype"",""bar""; ""max"", MAX(C$92:C$97)})"),"")</f>
        <v/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5"/>
      <c r="C11" s="8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5"/>
      <c r="C12" s="8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5"/>
      <c r="C13" s="8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5"/>
      <c r="C16" s="8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5"/>
      <c r="C17" s="8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9"/>
      <c r="B18" s="5"/>
      <c r="C18" s="8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5"/>
      <c r="C19" s="8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5"/>
      <c r="C20" s="8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5"/>
      <c r="C21" s="8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5"/>
      <c r="C22" s="8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/>
      <c r="B24" s="5"/>
      <c r="C24" s="8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" t="str">
        <f t="shared" ref="B25:C25" si="1">B4</f>
        <v>token</v>
      </c>
      <c r="C25" s="4" t="str">
        <f t="shared" si="1"/>
        <v>probability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5" t="str">
        <f t="shared" ref="B26:C26" si="2">B5</f>
        <v>dollar</v>
      </c>
      <c r="C26" s="6">
        <f t="shared" si="2"/>
        <v>0.4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5" t="str">
        <f t="shared" ref="B27:C27" si="3">B6</f>
        <v>yen</v>
      </c>
      <c r="C27" s="6">
        <f t="shared" si="3"/>
        <v>0.2</v>
      </c>
      <c r="E27" s="10" t="s">
        <v>10</v>
      </c>
      <c r="F27" s="3"/>
      <c r="G27" s="11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5" t="str">
        <f t="shared" ref="B28:C28" si="4">B7</f>
        <v>silver</v>
      </c>
      <c r="C28" s="6">
        <f t="shared" si="4"/>
        <v>0.2</v>
      </c>
      <c r="D28" s="12" t="s">
        <v>11</v>
      </c>
      <c r="E28" s="13" t="str">
        <f t="array" ref="E28">INDEX(B26:B31, MATCH(RAND(), {0;SCAN(0,C26:C31,LAMBDA(a,b,a+b))}, 1))</f>
        <v>yen</v>
      </c>
      <c r="F28" s="11"/>
      <c r="G28" s="3"/>
      <c r="H28" s="3"/>
      <c r="I28" s="11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5" t="str">
        <f t="shared" ref="B29:C29" si="5">B8</f>
        <v>gold</v>
      </c>
      <c r="C29" s="6">
        <f t="shared" si="5"/>
        <v>0.1</v>
      </c>
      <c r="F29" s="3"/>
      <c r="G29" s="11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5" t="str">
        <f t="shared" ref="B30:B31" si="6">B9</f>
        <v>pound</v>
      </c>
      <c r="C30" s="14">
        <v>0.0132</v>
      </c>
      <c r="F30" s="3"/>
      <c r="G30" s="11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5" t="str">
        <f t="shared" si="6"/>
        <v>paper</v>
      </c>
      <c r="C31" s="14">
        <v>0.0114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5" t="s">
        <v>7</v>
      </c>
      <c r="C32" s="15">
        <v>0.011258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5" t="s">
        <v>12</v>
      </c>
      <c r="C33" s="15">
        <v>0.011211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5" t="s">
        <v>13</v>
      </c>
      <c r="C34" s="15">
        <v>0.007382</v>
      </c>
      <c r="F34" s="16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5" t="s">
        <v>14</v>
      </c>
      <c r="C35" s="15">
        <v>0.007317</v>
      </c>
      <c r="F35" s="16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5" t="s">
        <v>15</v>
      </c>
      <c r="C36" s="15">
        <v>0.00599</v>
      </c>
      <c r="F36" s="1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5" t="s">
        <v>16</v>
      </c>
      <c r="C37" s="15">
        <v>0.00559</v>
      </c>
      <c r="F37" s="1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5" t="s">
        <v>17</v>
      </c>
      <c r="C38" s="15">
        <v>0.005458</v>
      </c>
      <c r="F38" s="1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5" t="s">
        <v>18</v>
      </c>
      <c r="C39" s="15">
        <v>0.004858</v>
      </c>
      <c r="F39" s="1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5" t="s">
        <v>19</v>
      </c>
      <c r="C40" s="15">
        <v>0.004658</v>
      </c>
      <c r="F40" s="1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5" t="s">
        <v>20</v>
      </c>
      <c r="C41" s="15">
        <v>0.004458</v>
      </c>
      <c r="F41" s="1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5" t="s">
        <v>21</v>
      </c>
      <c r="C42" s="15">
        <v>0.003453</v>
      </c>
      <c r="F42" s="1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7" t="s">
        <v>22</v>
      </c>
      <c r="C43" s="5"/>
      <c r="F43" s="1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5" t="s">
        <v>23</v>
      </c>
      <c r="C44" s="5"/>
      <c r="F44" s="1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5"/>
      <c r="C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" t="s">
        <v>24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"/>
      <c r="D47" s="17" t="str">
        <f>J100</f>
        <v/>
      </c>
      <c r="E47" s="11" t="s">
        <v>25</v>
      </c>
      <c r="F47" s="3"/>
      <c r="G47" s="3"/>
      <c r="H47" s="3"/>
      <c r="I47" s="3"/>
      <c r="J47" s="11" t="s">
        <v>26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4" t="s">
        <v>1</v>
      </c>
      <c r="C48" s="4" t="s">
        <v>27</v>
      </c>
      <c r="E48" s="4" t="s">
        <v>28</v>
      </c>
      <c r="G48" s="4" t="s">
        <v>1</v>
      </c>
      <c r="H48" s="4" t="s">
        <v>27</v>
      </c>
      <c r="I48" s="3"/>
      <c r="J48" s="18" t="s">
        <v>29</v>
      </c>
      <c r="L48" s="3"/>
      <c r="M48" s="9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5" t="str">
        <f t="shared" ref="B49:C49" si="7">B92</f>
        <v>dollar</v>
      </c>
      <c r="C49" s="8">
        <f t="shared" si="7"/>
        <v>0.4</v>
      </c>
      <c r="D49" s="17" t="str">
        <f>J102</f>
        <v/>
      </c>
      <c r="E49" s="19">
        <v>2.0</v>
      </c>
      <c r="G49" s="3" t="str">
        <f t="array" ref="G49:H50">SORT(B49:C54,2,FALSE)</f>
        <v>dollar</v>
      </c>
      <c r="H49" s="17">
        <v>0.4</v>
      </c>
      <c r="I49" s="3"/>
      <c r="J49" s="20">
        <f t="shared" ref="J49:J54" si="9">H49/Sum(H$49:H$54)</f>
        <v>0.6666666667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5" t="str">
        <f t="shared" ref="B50:C50" si="8">B93</f>
        <v>yen</v>
      </c>
      <c r="C50" s="8">
        <f t="shared" si="8"/>
        <v>0.2</v>
      </c>
      <c r="E50" s="11" t="s">
        <v>30</v>
      </c>
      <c r="G50" s="3" t="s">
        <v>4</v>
      </c>
      <c r="H50" s="17">
        <v>0.2</v>
      </c>
      <c r="I50" s="3"/>
      <c r="J50" s="20">
        <f t="shared" si="9"/>
        <v>0.3333333333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5" t="str">
        <f t="shared" ref="B51:C51" si="10">B94</f>
        <v>silver</v>
      </c>
      <c r="C51" s="8">
        <f t="shared" si="10"/>
        <v>0.2</v>
      </c>
      <c r="D51" s="12" t="s">
        <v>11</v>
      </c>
      <c r="E51" s="3"/>
      <c r="F51" s="12" t="s">
        <v>11</v>
      </c>
      <c r="G51" s="3"/>
      <c r="H51" s="17"/>
      <c r="I51" s="12" t="s">
        <v>11</v>
      </c>
      <c r="J51" s="20">
        <f t="shared" si="9"/>
        <v>0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5" t="str">
        <f t="shared" ref="B52:C52" si="11">B95</f>
        <v>gold</v>
      </c>
      <c r="C52" s="8">
        <f t="shared" si="11"/>
        <v>0.1</v>
      </c>
      <c r="E52" s="3"/>
      <c r="F52" s="3"/>
      <c r="G52" s="3"/>
      <c r="H52" s="17"/>
      <c r="I52" s="3"/>
      <c r="J52" s="20">
        <f t="shared" si="9"/>
        <v>0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5" t="str">
        <f t="shared" ref="B53:C53" si="12">B96</f>
        <v>pound</v>
      </c>
      <c r="C53" s="8">
        <f t="shared" si="12"/>
        <v>0.05</v>
      </c>
      <c r="E53" s="3"/>
      <c r="F53" s="3"/>
      <c r="G53" s="3"/>
      <c r="H53" s="17"/>
      <c r="I53" s="3"/>
      <c r="J53" s="20">
        <f t="shared" si="9"/>
        <v>0</v>
      </c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5" t="str">
        <f t="shared" ref="B54:C54" si="13">B97</f>
        <v>paper</v>
      </c>
      <c r="C54" s="8">
        <f t="shared" si="13"/>
        <v>0.05</v>
      </c>
      <c r="E54" s="3"/>
      <c r="F54" s="3"/>
      <c r="G54" s="3"/>
      <c r="H54" s="3"/>
      <c r="I54" s="3"/>
      <c r="J54" s="20">
        <f t="shared" si="9"/>
        <v>0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C56" s="8" t="str">
        <f>C98</f>
        <v/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4" t="s">
        <v>1</v>
      </c>
      <c r="C57" s="18" t="s">
        <v>31</v>
      </c>
      <c r="E57" s="18" t="str">
        <f>"Top-K = "&amp;E49</f>
        <v>Top-K = 2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13" t="str">
        <f t="shared" ref="B58:C58" si="14">B49</f>
        <v>dollar</v>
      </c>
      <c r="C58" s="21">
        <f t="shared" si="14"/>
        <v>0.4</v>
      </c>
      <c r="D58" s="13" t="str">
        <f>IFERROR(__xludf.DUMMYFUNCTION("SPARKLINE(C58, {""charttype"",""bar""; ""max"", SUM(C$58:C$63)})"),"")</f>
        <v/>
      </c>
      <c r="E58" s="22">
        <f t="shared" ref="E58:E63" si="16">J49</f>
        <v>0.6666666667</v>
      </c>
      <c r="F58" s="13" t="str">
        <f>IFERROR(__xludf.DUMMYFUNCTION("SPARKLINE(E58, {""charttype"",""bar""; ""max"", SUM(E$58:E$63)})"),"")</f>
        <v/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13" t="str">
        <f t="shared" ref="B59:C59" si="15">B50</f>
        <v>yen</v>
      </c>
      <c r="C59" s="21">
        <f t="shared" si="15"/>
        <v>0.2</v>
      </c>
      <c r="D59" s="13" t="str">
        <f>IFERROR(__xludf.DUMMYFUNCTION("SPARKLINE(C59, {""charttype"",""bar""; ""max"", SUM(C$58:C$63)})"),"")</f>
        <v/>
      </c>
      <c r="E59" s="22">
        <f t="shared" si="16"/>
        <v>0.3333333333</v>
      </c>
      <c r="F59" s="13" t="str">
        <f>IFERROR(__xludf.DUMMYFUNCTION("SPARKLINE(E59, {""charttype"",""bar""; ""max"", SUM(E$58:E$63)})"),"")</f>
        <v/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13" t="str">
        <f t="shared" ref="B60:C60" si="17">B51</f>
        <v>silver</v>
      </c>
      <c r="C60" s="21">
        <f t="shared" si="17"/>
        <v>0.2</v>
      </c>
      <c r="D60" s="13" t="str">
        <f>IFERROR(__xludf.DUMMYFUNCTION("SPARKLINE(C60, {""charttype"",""bar""; ""max"", SUM(C$58:C$63)})"),"")</f>
        <v/>
      </c>
      <c r="E60" s="22">
        <f t="shared" si="16"/>
        <v>0</v>
      </c>
      <c r="F60" s="13" t="str">
        <f>IFERROR(__xludf.DUMMYFUNCTION("SPARKLINE(E60, {""charttype"",""bar""; ""max"", SUM(E$58:E$63)})"),"")</f>
        <v/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13" t="str">
        <f t="shared" ref="B61:C61" si="18">B52</f>
        <v>gold</v>
      </c>
      <c r="C61" s="21">
        <f t="shared" si="18"/>
        <v>0.1</v>
      </c>
      <c r="D61" s="13" t="str">
        <f>IFERROR(__xludf.DUMMYFUNCTION("SPARKLINE(C61, {""charttype"",""bar""; ""max"", SUM(C$58:C$63)})"),"")</f>
        <v/>
      </c>
      <c r="E61" s="22">
        <f t="shared" si="16"/>
        <v>0</v>
      </c>
      <c r="F61" s="13" t="str">
        <f>IFERROR(__xludf.DUMMYFUNCTION("SPARKLINE(E61, {""charttype"",""bar""; ""max"", SUM(E$58:E$63)})"),"")</f>
        <v/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13" t="str">
        <f t="shared" ref="B62:C62" si="19">B53</f>
        <v>pound</v>
      </c>
      <c r="C62" s="21">
        <f t="shared" si="19"/>
        <v>0.05</v>
      </c>
      <c r="D62" s="13" t="str">
        <f>IFERROR(__xludf.DUMMYFUNCTION("SPARKLINE(C62, {""charttype"",""bar""; ""max"", SUM(C$58:C$63)})"),"")</f>
        <v/>
      </c>
      <c r="E62" s="22">
        <f t="shared" si="16"/>
        <v>0</v>
      </c>
      <c r="F62" s="13" t="str">
        <f>IFERROR(__xludf.DUMMYFUNCTION("SPARKLINE(E62, {""charttype"",""bar""; ""max"", SUM(E$58:E$63)})"),"")</f>
        <v/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13" t="str">
        <f t="shared" ref="B63:C63" si="20">B54</f>
        <v>paper</v>
      </c>
      <c r="C63" s="21">
        <f t="shared" si="20"/>
        <v>0.05</v>
      </c>
      <c r="D63" s="13" t="str">
        <f>IFERROR(__xludf.DUMMYFUNCTION("SPARKLINE(C63, {""charttype"",""bar""; ""max"", SUM(C$58:C$63)})"),"")</f>
        <v/>
      </c>
      <c r="E63" s="22">
        <f t="shared" si="16"/>
        <v>0</v>
      </c>
      <c r="F63" s="13" t="str">
        <f>IFERROR(__xludf.DUMMYFUNCTION("SPARKLINE(E63, {""charttype"",""bar""; ""max"", SUM(E$58:E$63)})"),"")</f>
        <v/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" t="s">
        <v>32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11" t="s">
        <v>25</v>
      </c>
      <c r="I68" s="3"/>
      <c r="J68" s="3"/>
      <c r="K68" s="3"/>
      <c r="L68" s="3"/>
      <c r="M68" s="11" t="s">
        <v>26</v>
      </c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4" t="s">
        <v>1</v>
      </c>
      <c r="C69" s="4" t="s">
        <v>27</v>
      </c>
      <c r="E69" s="4" t="s">
        <v>1</v>
      </c>
      <c r="F69" s="10" t="s">
        <v>33</v>
      </c>
      <c r="H69" s="4" t="s">
        <v>34</v>
      </c>
      <c r="J69" s="4" t="s">
        <v>1</v>
      </c>
      <c r="K69" s="4" t="s">
        <v>27</v>
      </c>
      <c r="L69" s="3"/>
      <c r="M69" s="18" t="s">
        <v>29</v>
      </c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5" t="str">
        <f t="shared" ref="B70:C70" si="21">B92</f>
        <v>dollar</v>
      </c>
      <c r="C70" s="8">
        <f t="shared" si="21"/>
        <v>0.4</v>
      </c>
      <c r="E70" s="13" t="str">
        <f t="shared" ref="E70:E75" si="23">B70</f>
        <v>dollar</v>
      </c>
      <c r="F70" s="21">
        <f>SUM(C70)</f>
        <v>0.4</v>
      </c>
      <c r="G70" s="3" t="str">
        <f>J56</f>
        <v/>
      </c>
      <c r="H70" s="23">
        <v>0.7</v>
      </c>
      <c r="J70" s="3" t="str">
        <f t="array" ref="J70:K72">B70:C75</f>
        <v>dollar</v>
      </c>
      <c r="K70" s="17">
        <v>0.4</v>
      </c>
      <c r="L70" s="3"/>
      <c r="M70" s="20">
        <f t="shared" ref="M70:M75" si="24">K70/Sum(K$70:K$75)</f>
        <v>0.5</v>
      </c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5" t="str">
        <f t="shared" ref="B71:C71" si="22">B93</f>
        <v>yen</v>
      </c>
      <c r="C71" s="8">
        <f t="shared" si="22"/>
        <v>0.2</v>
      </c>
      <c r="E71" s="13" t="str">
        <f t="shared" si="23"/>
        <v>yen</v>
      </c>
      <c r="F71" s="21">
        <f>SUM(C70,C71)</f>
        <v>0.6</v>
      </c>
      <c r="H71" s="11"/>
      <c r="J71" s="3" t="s">
        <v>4</v>
      </c>
      <c r="K71" s="17">
        <v>0.2</v>
      </c>
      <c r="L71" s="3"/>
      <c r="M71" s="20">
        <f t="shared" si="24"/>
        <v>0.25</v>
      </c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5" t="str">
        <f t="shared" ref="B72:C72" si="25">B94</f>
        <v>silver</v>
      </c>
      <c r="C72" s="8">
        <f t="shared" si="25"/>
        <v>0.2</v>
      </c>
      <c r="D72" s="12" t="s">
        <v>11</v>
      </c>
      <c r="E72" s="13" t="str">
        <f t="shared" si="23"/>
        <v>silver</v>
      </c>
      <c r="F72" s="21">
        <f>sum(C70:C72)</f>
        <v>0.8</v>
      </c>
      <c r="G72" s="12" t="s">
        <v>11</v>
      </c>
      <c r="H72" s="3"/>
      <c r="I72" s="12" t="s">
        <v>11</v>
      </c>
      <c r="J72" s="3" t="s">
        <v>5</v>
      </c>
      <c r="K72" s="17">
        <v>0.2</v>
      </c>
      <c r="L72" s="12" t="s">
        <v>11</v>
      </c>
      <c r="M72" s="20">
        <f t="shared" si="24"/>
        <v>0.25</v>
      </c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5" t="str">
        <f t="shared" ref="B73:C73" si="26">B95</f>
        <v>gold</v>
      </c>
      <c r="C73" s="8">
        <f t="shared" si="26"/>
        <v>0.1</v>
      </c>
      <c r="D73" s="3"/>
      <c r="E73" s="13" t="str">
        <f t="shared" si="23"/>
        <v>gold</v>
      </c>
      <c r="F73" s="17">
        <f>SUM(C70:C73)</f>
        <v>0.9</v>
      </c>
      <c r="G73" s="3"/>
      <c r="H73" s="3"/>
      <c r="I73" s="3"/>
      <c r="J73" s="3"/>
      <c r="K73" s="3"/>
      <c r="L73" s="3"/>
      <c r="M73" s="3">
        <f t="shared" si="24"/>
        <v>0</v>
      </c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5" t="str">
        <f t="shared" ref="B74:C74" si="27">B96</f>
        <v>pound</v>
      </c>
      <c r="C74" s="8">
        <f t="shared" si="27"/>
        <v>0.05</v>
      </c>
      <c r="D74" s="3"/>
      <c r="E74" s="13" t="str">
        <f t="shared" si="23"/>
        <v>pound</v>
      </c>
      <c r="F74" s="17">
        <f>SUM(C70:C74)</f>
        <v>0.95</v>
      </c>
      <c r="G74" s="3"/>
      <c r="H74" s="3"/>
      <c r="I74" s="3"/>
      <c r="J74" s="3"/>
      <c r="K74" s="3"/>
      <c r="L74" s="3"/>
      <c r="M74" s="3">
        <f t="shared" si="24"/>
        <v>0</v>
      </c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5" t="str">
        <f t="shared" ref="B75:C75" si="28">B97</f>
        <v>paper</v>
      </c>
      <c r="C75" s="8">
        <f t="shared" si="28"/>
        <v>0.05</v>
      </c>
      <c r="D75" s="3"/>
      <c r="E75" s="13" t="str">
        <f t="shared" si="23"/>
        <v>paper</v>
      </c>
      <c r="F75" s="17">
        <f>SUM(C70:C75)</f>
        <v>1</v>
      </c>
      <c r="G75" s="3"/>
      <c r="H75" s="3"/>
      <c r="I75" s="3"/>
      <c r="J75" s="3"/>
      <c r="K75" s="3"/>
      <c r="L75" s="3"/>
      <c r="M75" s="3">
        <f t="shared" si="24"/>
        <v>0</v>
      </c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4" t="s">
        <v>1</v>
      </c>
      <c r="C78" s="18" t="s">
        <v>31</v>
      </c>
      <c r="E78" s="18" t="str">
        <f>"Top-P = "&amp;H70*100&amp;"%"</f>
        <v>Top-P = 70%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13" t="str">
        <f t="shared" ref="B79:C79" si="29">B70</f>
        <v>dollar</v>
      </c>
      <c r="C79" s="21">
        <f t="shared" si="29"/>
        <v>0.4</v>
      </c>
      <c r="D79" s="13" t="str">
        <f>IFERROR(__xludf.DUMMYFUNCTION("SPARKLINE(C79, {""charttype"",""bar""; ""max"", SUM(C$58:C$63)})"),"")</f>
        <v/>
      </c>
      <c r="E79" s="22">
        <f t="shared" ref="E79:E84" si="31">M70</f>
        <v>0.5</v>
      </c>
      <c r="F79" s="13" t="str">
        <f>IFERROR(__xludf.DUMMYFUNCTION("SPARKLINE(E79, {""charttype"",""bar""; ""max"", SUM(E$58:E$63)})"),"")</f>
        <v/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13" t="str">
        <f t="shared" ref="B80:C80" si="30">B71</f>
        <v>yen</v>
      </c>
      <c r="C80" s="21">
        <f t="shared" si="30"/>
        <v>0.2</v>
      </c>
      <c r="D80" s="13" t="str">
        <f>IFERROR(__xludf.DUMMYFUNCTION("SPARKLINE(C80, {""charttype"",""bar""; ""max"", SUM(C$58:C$63)})"),"")</f>
        <v/>
      </c>
      <c r="E80" s="22">
        <f t="shared" si="31"/>
        <v>0.25</v>
      </c>
      <c r="F80" s="13" t="str">
        <f>IFERROR(__xludf.DUMMYFUNCTION("SPARKLINE(E80, {""charttype"",""bar""; ""max"", SUM(E$58:E$63)})"),"")</f>
        <v/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13" t="str">
        <f t="shared" ref="B81:C81" si="32">B72</f>
        <v>silver</v>
      </c>
      <c r="C81" s="21">
        <f t="shared" si="32"/>
        <v>0.2</v>
      </c>
      <c r="D81" s="13" t="str">
        <f>IFERROR(__xludf.DUMMYFUNCTION("SPARKLINE(C81, {""charttype"",""bar""; ""max"", SUM(C$58:C$63)})"),"")</f>
        <v/>
      </c>
      <c r="E81" s="22">
        <f t="shared" si="31"/>
        <v>0.25</v>
      </c>
      <c r="F81" s="13" t="str">
        <f>IFERROR(__xludf.DUMMYFUNCTION("SPARKLINE(E81, {""charttype"",""bar""; ""max"", SUM(E$58:E$63)})"),"")</f>
        <v/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13" t="str">
        <f t="shared" ref="B82:C82" si="33">B73</f>
        <v>gold</v>
      </c>
      <c r="C82" s="21">
        <f t="shared" si="33"/>
        <v>0.1</v>
      </c>
      <c r="D82" s="13" t="str">
        <f>IFERROR(__xludf.DUMMYFUNCTION("SPARKLINE(C82, {""charttype"",""bar""; ""max"", SUM(C$58:C$63)})"),"")</f>
        <v/>
      </c>
      <c r="E82" s="13">
        <f t="shared" si="31"/>
        <v>0</v>
      </c>
      <c r="F82" s="13" t="str">
        <f>IFERROR(__xludf.DUMMYFUNCTION("SPARKLINE(E82, {""charttype"",""bar""; ""max"", SUM(E$58:E$63)})"),"")</f>
        <v/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13" t="str">
        <f t="shared" ref="B83:C83" si="34">B74</f>
        <v>pound</v>
      </c>
      <c r="C83" s="21">
        <f t="shared" si="34"/>
        <v>0.05</v>
      </c>
      <c r="D83" s="13" t="str">
        <f>IFERROR(__xludf.DUMMYFUNCTION("SPARKLINE(C83, {""charttype"",""bar""; ""max"", SUM(C$58:C$63)})"),"")</f>
        <v/>
      </c>
      <c r="E83" s="13">
        <f t="shared" si="31"/>
        <v>0</v>
      </c>
      <c r="F83" s="13" t="str">
        <f>IFERROR(__xludf.DUMMYFUNCTION("SPARKLINE(E83, {""charttype"",""bar""; ""max"", SUM(E$58:E$63)})"),"")</f>
        <v/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13" t="str">
        <f t="shared" ref="B84:C84" si="35">B75</f>
        <v>paper</v>
      </c>
      <c r="C84" s="21">
        <f t="shared" si="35"/>
        <v>0.05</v>
      </c>
      <c r="D84" s="13" t="str">
        <f>IFERROR(__xludf.DUMMYFUNCTION("SPARKLINE(C84, {""charttype"",""bar""; ""max"", SUM(C$58:C$63)})"),"")</f>
        <v/>
      </c>
      <c r="E84" s="13">
        <f t="shared" si="31"/>
        <v>0</v>
      </c>
      <c r="F84" s="13" t="str">
        <f>IFERROR(__xludf.DUMMYFUNCTION("SPARKLINE(E84, {""charttype"",""bar""; ""max"", SUM(E$58:E$63)})"),"")</f>
        <v/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" t="s">
        <v>35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18" t="s">
        <v>36</v>
      </c>
      <c r="C89" s="24">
        <v>1.0</v>
      </c>
      <c r="D89" s="3"/>
      <c r="E89" s="1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11"/>
      <c r="D90" s="3"/>
      <c r="E90" s="11" t="s">
        <v>25</v>
      </c>
      <c r="F90" s="3"/>
      <c r="G90" s="3"/>
      <c r="H90" s="11" t="s">
        <v>40</v>
      </c>
      <c r="I90" s="3"/>
      <c r="J90" s="11" t="s">
        <v>25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4" t="s">
        <v>1</v>
      </c>
      <c r="C91" s="4" t="s">
        <v>27</v>
      </c>
      <c r="D91" s="3"/>
      <c r="E91" s="18" t="s">
        <v>37</v>
      </c>
      <c r="F91" s="3"/>
      <c r="G91" s="3"/>
      <c r="H91" s="18" t="s">
        <v>38</v>
      </c>
      <c r="I91" s="3"/>
      <c r="J91" s="18" t="s">
        <v>39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5" t="str">
        <f t="shared" ref="B92:C92" si="36">B5</f>
        <v>dollar</v>
      </c>
      <c r="C92" s="8">
        <f t="shared" si="36"/>
        <v>0.4</v>
      </c>
      <c r="D92" s="3"/>
      <c r="E92" s="20">
        <f t="shared" ref="E92:E97" si="38">EXP(LN(C92)/C$89)</f>
        <v>0.4</v>
      </c>
      <c r="F92" s="3"/>
      <c r="G92" s="3"/>
      <c r="H92" s="20">
        <f>SUM(E92:E97)</f>
        <v>1</v>
      </c>
      <c r="I92" s="3"/>
      <c r="J92" s="17">
        <f t="shared" ref="J92:J97" si="39">E92/$H$92</f>
        <v>0.4</v>
      </c>
      <c r="K92" s="3" t="str">
        <f>IFERROR(__xludf.DUMMYFUNCTION("SPARKLINE(J92, {""charttype"",""bar""; ""max"", SUM(J$92:J$97)})"),"")</f>
        <v/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5" t="str">
        <f t="shared" ref="B93:C93" si="37">B6</f>
        <v>yen</v>
      </c>
      <c r="C93" s="8">
        <f t="shared" si="37"/>
        <v>0.2</v>
      </c>
      <c r="D93" s="3"/>
      <c r="E93" s="20">
        <f t="shared" si="38"/>
        <v>0.2</v>
      </c>
      <c r="F93" s="3"/>
      <c r="H93" s="3"/>
      <c r="I93" s="3"/>
      <c r="J93" s="17">
        <f t="shared" si="39"/>
        <v>0.2</v>
      </c>
      <c r="K93" s="3" t="str">
        <f>IFERROR(__xludf.DUMMYFUNCTION("SPARKLINE(J93, {""charttype"",""bar""; ""max"", SUM(J$92:J$97)})"),"")</f>
        <v/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5" t="str">
        <f t="shared" ref="B94:C94" si="40">B7</f>
        <v>silver</v>
      </c>
      <c r="C94" s="8">
        <f t="shared" si="40"/>
        <v>0.2</v>
      </c>
      <c r="D94" s="12" t="s">
        <v>11</v>
      </c>
      <c r="E94" s="20">
        <f t="shared" si="38"/>
        <v>0.2</v>
      </c>
      <c r="F94" s="3"/>
      <c r="G94" s="12" t="s">
        <v>11</v>
      </c>
      <c r="H94" s="3"/>
      <c r="I94" s="12" t="s">
        <v>11</v>
      </c>
      <c r="J94" s="17">
        <f t="shared" si="39"/>
        <v>0.2</v>
      </c>
      <c r="K94" s="3" t="str">
        <f>IFERROR(__xludf.DUMMYFUNCTION("SPARKLINE(J94, {""charttype"",""bar""; ""max"", SUM(J$92:J$97)})"),"")</f>
        <v/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5" t="str">
        <f t="shared" ref="B95:C95" si="41">B8</f>
        <v>gold</v>
      </c>
      <c r="C95" s="8">
        <f t="shared" si="41"/>
        <v>0.1</v>
      </c>
      <c r="D95" s="3"/>
      <c r="E95" s="20">
        <f t="shared" si="38"/>
        <v>0.1</v>
      </c>
      <c r="F95" s="3"/>
      <c r="G95" s="3"/>
      <c r="H95" s="3"/>
      <c r="I95" s="3"/>
      <c r="J95" s="17">
        <f t="shared" si="39"/>
        <v>0.1</v>
      </c>
      <c r="K95" s="3" t="str">
        <f>IFERROR(__xludf.DUMMYFUNCTION("SPARKLINE(J95, {""charttype"",""bar""; ""max"", SUM(J$92:J$97)})"),"")</f>
        <v/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5" t="str">
        <f t="shared" ref="B96:C96" si="42">B9</f>
        <v>pound</v>
      </c>
      <c r="C96" s="8">
        <f t="shared" si="42"/>
        <v>0.05</v>
      </c>
      <c r="D96" s="3"/>
      <c r="E96" s="20">
        <f t="shared" si="38"/>
        <v>0.05</v>
      </c>
      <c r="F96" s="3"/>
      <c r="G96" s="3"/>
      <c r="H96" s="3"/>
      <c r="I96" s="3"/>
      <c r="J96" s="17">
        <f t="shared" si="39"/>
        <v>0.05</v>
      </c>
      <c r="K96" s="3" t="str">
        <f>IFERROR(__xludf.DUMMYFUNCTION("SPARKLINE(J96, {""charttype"",""bar""; ""max"", SUM(J$92:J$97)})"),"")</f>
        <v/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5" t="str">
        <f t="shared" ref="B97:C97" si="43">B10</f>
        <v>paper</v>
      </c>
      <c r="C97" s="8">
        <f t="shared" si="43"/>
        <v>0.05</v>
      </c>
      <c r="D97" s="3"/>
      <c r="E97" s="20">
        <f t="shared" si="38"/>
        <v>0.05</v>
      </c>
      <c r="F97" s="3"/>
      <c r="G97" s="3"/>
      <c r="H97" s="3"/>
      <c r="I97" s="3"/>
      <c r="J97" s="17">
        <f t="shared" si="39"/>
        <v>0.05</v>
      </c>
      <c r="K97" s="3" t="str">
        <f>IFERROR(__xludf.DUMMYFUNCTION("SPARKLINE(J97, {""charttype"",""bar""; ""max"", SUM(J$92:J$97)})"),"")</f>
        <v/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5"/>
      <c r="C98" s="8"/>
      <c r="D98" s="3"/>
      <c r="E98" s="3"/>
      <c r="F98" s="3"/>
      <c r="G98" s="3"/>
      <c r="H98" s="3"/>
      <c r="I98" s="3"/>
      <c r="J98" s="1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4"/>
      <c r="C99" s="4"/>
      <c r="E99" s="3"/>
      <c r="F99" s="18"/>
      <c r="G99" s="3"/>
      <c r="H99" s="3"/>
      <c r="I99" s="3"/>
      <c r="J99" s="1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5" t="s">
        <v>41</v>
      </c>
      <c r="C100" s="8"/>
      <c r="E100" s="3"/>
      <c r="F100" s="3"/>
      <c r="G100" s="3"/>
      <c r="H100" s="3"/>
      <c r="I100" s="3"/>
      <c r="J100" s="1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5" t="s">
        <v>42</v>
      </c>
      <c r="C101" s="8"/>
      <c r="E101" s="3"/>
      <c r="F101" s="3"/>
      <c r="G101" s="3"/>
      <c r="H101" s="3"/>
      <c r="I101" s="3"/>
      <c r="J101" s="1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5" t="s">
        <v>43</v>
      </c>
      <c r="C102" s="8"/>
      <c r="E102" s="3"/>
      <c r="F102" s="3"/>
      <c r="G102" s="3"/>
      <c r="H102" s="3"/>
      <c r="I102" s="3"/>
      <c r="J102" s="1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5"/>
      <c r="C103" s="8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7" t="s">
        <v>44</v>
      </c>
      <c r="C104" s="8"/>
      <c r="D104" s="5" t="s">
        <v>45</v>
      </c>
      <c r="E104" s="3"/>
      <c r="F104" s="11" t="s">
        <v>46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13"/>
      <c r="C105" s="8"/>
      <c r="D105" s="25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13"/>
      <c r="D106" s="25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13"/>
      <c r="D107" s="25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13"/>
      <c r="D108" s="25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13"/>
      <c r="D109" s="25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13"/>
      <c r="D110" s="25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5"/>
      <c r="C112" s="8"/>
      <c r="D112" s="17" t="str">
        <f>J98</f>
        <v/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</sheetData>
  <drawing r:id="rId1"/>
</worksheet>
</file>