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<sst xmlns="http://schemas.openxmlformats.org/spreadsheetml/2006/main" count="82" uniqueCount="30">
  <si>
    <t xml:space="preserve">Logits vector </t>
  </si>
  <si>
    <t>logits</t>
  </si>
  <si>
    <t>(1,10)</t>
  </si>
  <si>
    <t xml:space="preserve">Logits -&gt; Linear ratio probabilities </t>
  </si>
  <si>
    <t>min</t>
  </si>
  <si>
    <t>logit - min</t>
  </si>
  <si>
    <t>sum</t>
  </si>
  <si>
    <t>linear</t>
  </si>
  <si>
    <t>position</t>
  </si>
  <si>
    <t>Exponent: Intro</t>
  </si>
  <si>
    <t>number</t>
  </si>
  <si>
    <t>exp</t>
  </si>
  <si>
    <t xml:space="preserve">  Linear ratio probabilities </t>
  </si>
  <si>
    <t>Softmax: Vector</t>
  </si>
  <si>
    <t>sum(exp)</t>
  </si>
  <si>
    <t>softmax</t>
  </si>
  <si>
    <t xml:space="preserve">Softmax vs. linear </t>
  </si>
  <si>
    <t>[Exercise] Note how Softmax pushes high probabilities higher,</t>
  </si>
  <si>
    <t xml:space="preserve">and low probabilities lower. </t>
  </si>
  <si>
    <t>Softmax Matrix</t>
  </si>
  <si>
    <t>Matrix1</t>
  </si>
  <si>
    <t xml:space="preserve">Exponent </t>
  </si>
  <si>
    <t>⬇</t>
  </si>
  <si>
    <t>Matrix2</t>
  </si>
  <si>
    <t>M1 @ M2</t>
  </si>
  <si>
    <t>➡</t>
  </si>
  <si>
    <t>Softmax</t>
  </si>
  <si>
    <t>RowSum</t>
  </si>
  <si>
    <t>Exponent</t>
  </si>
  <si>
    <t>SoftMax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</si>
</sst>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/>
    </xf>
    <xf borderId="0" fillId="0" fontId="2" numFmtId="0" xfId="0" applyFont="1"/>
    <xf borderId="0" fillId="0" fontId="2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5" fillId="0" fontId="4" numFmtId="0" xfId="0" applyBorder="1" applyFont="1"/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  <xf borderId="9" fillId="0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Answers'!$B$17</c:f>
            </c:strRef>
          </c:tx>
          <c:cat>
            <c:strRef>
              <c:f>'wo Answers'!$C$18:$L$18</c:f>
            </c:strRef>
          </c:cat>
          <c:val>
            <c:numRef>
              <c:f>'wo Answers'!$C$17:$L$17</c:f>
              <c:numCache/>
            </c:numRef>
          </c:val>
        </c:ser>
        <c:axId val="138722912"/>
        <c:axId val="770756259"/>
      </c:barChart>
      <c:catAx>
        <c:axId val="13872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56259"/>
      </c:catAx>
      <c:valAx>
        <c:axId val="7707562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8722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2024186976"/>
        <c:axId val="1024686479"/>
      </c:lineChart>
      <c:catAx>
        <c:axId val="202418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686479"/>
      </c:catAx>
      <c:valAx>
        <c:axId val="10246864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2418697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Answers'!$B$68</c:f>
            </c:strRef>
          </c:tx>
          <c:cat>
            <c:strRef>
              <c:f>'wo Answers'!$C$69:$L$69</c:f>
            </c:strRef>
          </c:cat>
          <c:val>
            <c:numRef>
              <c:f>'wo Answers'!$C$68:$L$68</c:f>
              <c:numCache/>
            </c:numRef>
          </c:val>
        </c:ser>
        <c:axId val="881582128"/>
        <c:axId val="103107250"/>
      </c:barChart>
      <c:catAx>
        <c:axId val="88158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07250"/>
      </c:catAx>
      <c:valAx>
        <c:axId val="10310725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81582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Answers'!$B$94</c:f>
            </c:strRef>
          </c:tx>
          <c:cat>
            <c:strRef>
              <c:f>'wo Answers'!$C$95:$L$95</c:f>
            </c:strRef>
          </c:cat>
          <c:val>
            <c:numRef>
              <c:f>'wo Answers'!$C$94:$L$94</c:f>
              <c:numCache/>
            </c:numRef>
          </c:val>
        </c:ser>
        <c:ser>
          <c:idx val="1"/>
          <c:order val="1"/>
          <c:tx>
            <c:strRef>
              <c:f>'wo Answers'!$B$93</c:f>
            </c:strRef>
          </c:tx>
          <c:cat>
            <c:strRef>
              <c:f>'wo Answers'!$C$95:$L$95</c:f>
            </c:strRef>
          </c:cat>
          <c:val>
            <c:numRef>
              <c:f>'wo Answers'!$C$93:$L$93</c:f>
              <c:numCache/>
            </c:numRef>
          </c:val>
        </c:ser>
        <c:axId val="301814945"/>
        <c:axId val="909312496"/>
      </c:barChart>
      <c:catAx>
        <c:axId val="301814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312496"/>
      </c:catAx>
      <c:valAx>
        <c:axId val="9093124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01814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Answers'!$C$18:$L$18</c:f>
            </c:strRef>
          </c:cat>
          <c:val>
            <c:numRef>
              <c:f>'w Answers'!$C$17:$L$17</c:f>
              <c:numCache/>
            </c:numRef>
          </c:val>
        </c:ser>
        <c:axId val="2027474066"/>
        <c:axId val="1494189387"/>
      </c:barChart>
      <c:catAx>
        <c:axId val="2027474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189387"/>
      </c:catAx>
      <c:valAx>
        <c:axId val="1494189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474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 Answers'!$C$38:$O$38</c:f>
            </c:strRef>
          </c:cat>
          <c:val>
            <c:numRef>
              <c:f>'w Answers'!$C$38:$O$38</c:f>
              <c:numCache/>
            </c:numRef>
          </c:val>
          <c:smooth val="1"/>
        </c:ser>
        <c:axId val="1293388901"/>
        <c:axId val="100607524"/>
      </c:lineChart>
      <c:catAx>
        <c:axId val="1293388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07524"/>
      </c:catAx>
      <c:valAx>
        <c:axId val="100607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388901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Answers'!$C$69:$L$69</c:f>
            </c:strRef>
          </c:cat>
          <c:val>
            <c:numRef>
              <c:f>'w Answers'!$C$68:$L$68</c:f>
              <c:numCache/>
            </c:numRef>
          </c:val>
        </c:ser>
        <c:axId val="1192029045"/>
        <c:axId val="1784068384"/>
      </c:barChart>
      <c:catAx>
        <c:axId val="1192029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068384"/>
      </c:catAx>
      <c:valAx>
        <c:axId val="1784068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029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Softmax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Answers'!$C$94:$L$94</c:f>
              <c:numCache/>
            </c:numRef>
          </c:val>
        </c:ser>
        <c:ser>
          <c:idx val="1"/>
          <c:order val="1"/>
          <c:tx>
            <c:v>linear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Answers'!$C$93:$L$93</c:f>
              <c:numCache/>
            </c:numRef>
          </c:val>
        </c:ser>
        <c:axId val="329626172"/>
        <c:axId val="171878700"/>
      </c:barChart>
      <c:catAx>
        <c:axId val="329626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78700"/>
      </c:catAx>
      <c:valAx>
        <c:axId val="171878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626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42100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>norminv(rand(), 0, 7)</f>
        <v>-4.568150018</v>
      </c>
      <c r="D4" s="6"/>
      <c r="E4" s="6"/>
      <c r="F4" s="6"/>
      <c r="G4" s="6"/>
      <c r="H4" s="6"/>
      <c r="I4" s="6"/>
      <c r="J4" s="6"/>
      <c r="K4" s="6"/>
      <c r="L4" s="7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9">
        <f t="shared" ref="C9:L9" si="1">C$4</f>
        <v>-4.568150018</v>
      </c>
      <c r="D9" s="8" t="str">
        <f t="shared" si="1"/>
        <v/>
      </c>
      <c r="E9" s="8" t="str">
        <f t="shared" si="1"/>
        <v/>
      </c>
      <c r="F9" s="8" t="str">
        <f t="shared" si="1"/>
        <v/>
      </c>
      <c r="G9" s="8" t="str">
        <f t="shared" si="1"/>
        <v/>
      </c>
      <c r="H9" s="8" t="str">
        <f t="shared" si="1"/>
        <v/>
      </c>
      <c r="I9" s="8" t="str">
        <f t="shared" si="1"/>
        <v/>
      </c>
      <c r="J9" s="8" t="str">
        <f t="shared" si="1"/>
        <v/>
      </c>
      <c r="K9" s="8" t="str">
        <f t="shared" si="1"/>
        <v/>
      </c>
      <c r="L9" s="8" t="str">
        <f t="shared" si="1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  <c r="S11" s="2"/>
      <c r="T11" s="2"/>
      <c r="U11" s="2"/>
      <c r="V11" s="2"/>
      <c r="W11" s="2"/>
      <c r="X11" s="2"/>
      <c r="Y11" s="2"/>
      <c r="Z11" s="2"/>
    </row>
    <row r="12">
      <c r="B12" s="4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12">
        <f t="array" ref="C38:L38">SEQUENCE(1, 10, -2, 0.3)</f>
        <v>-2</v>
      </c>
      <c r="D38" s="12">
        <v>-1.7</v>
      </c>
      <c r="E38" s="12">
        <v>-1.4</v>
      </c>
      <c r="F38" s="12">
        <v>-1.0999999999999999</v>
      </c>
      <c r="G38" s="12">
        <v>-0.7999999999999998</v>
      </c>
      <c r="H38" s="12">
        <v>-0.49999999999999983</v>
      </c>
      <c r="I38" s="12">
        <v>-0.19999999999999984</v>
      </c>
      <c r="J38" s="12">
        <v>0.10000000000000014</v>
      </c>
      <c r="K38" s="12">
        <v>0.40000000000000013</v>
      </c>
      <c r="L38" s="12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13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8">
        <f t="shared" ref="C63:L63" si="2">C$4</f>
        <v>-4.568150018</v>
      </c>
      <c r="D63" s="8" t="str">
        <f t="shared" si="2"/>
        <v/>
      </c>
      <c r="E63" s="8" t="str">
        <f t="shared" si="2"/>
        <v/>
      </c>
      <c r="F63" s="8" t="str">
        <f t="shared" si="2"/>
        <v/>
      </c>
      <c r="G63" s="8" t="str">
        <f t="shared" si="2"/>
        <v/>
      </c>
      <c r="H63" s="8" t="str">
        <f t="shared" si="2"/>
        <v/>
      </c>
      <c r="I63" s="8" t="str">
        <f t="shared" si="2"/>
        <v/>
      </c>
      <c r="J63" s="8" t="str">
        <f t="shared" si="2"/>
        <v/>
      </c>
      <c r="K63" s="8" t="str">
        <f t="shared" si="2"/>
        <v/>
      </c>
      <c r="L63" s="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15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16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3">C$4</f>
        <v>-4.568150018</v>
      </c>
      <c r="D92" s="14" t="str">
        <f t="shared" si="3"/>
        <v/>
      </c>
      <c r="E92" s="14" t="str">
        <f t="shared" si="3"/>
        <v/>
      </c>
      <c r="F92" s="14" t="str">
        <f t="shared" si="3"/>
        <v/>
      </c>
      <c r="G92" s="14" t="str">
        <f t="shared" si="3"/>
        <v/>
      </c>
      <c r="H92" s="14" t="str">
        <f t="shared" si="3"/>
        <v/>
      </c>
      <c r="I92" s="14" t="str">
        <f t="shared" si="3"/>
        <v/>
      </c>
      <c r="J92" s="14" t="str">
        <f t="shared" si="3"/>
        <v/>
      </c>
      <c r="K92" s="14" t="str">
        <f t="shared" si="3"/>
        <v/>
      </c>
      <c r="L92" s="14" t="str">
        <f t="shared" si="3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11" t="str">
        <f t="shared" ref="C93:L93" si="4">C17</f>
        <v/>
      </c>
      <c r="D93" s="11" t="str">
        <f t="shared" si="4"/>
        <v/>
      </c>
      <c r="E93" s="11" t="str">
        <f t="shared" si="4"/>
        <v/>
      </c>
      <c r="F93" s="11" t="str">
        <f t="shared" si="4"/>
        <v/>
      </c>
      <c r="G93" s="11" t="str">
        <f t="shared" si="4"/>
        <v/>
      </c>
      <c r="H93" s="11" t="str">
        <f t="shared" si="4"/>
        <v/>
      </c>
      <c r="I93" s="11" t="str">
        <f t="shared" si="4"/>
        <v/>
      </c>
      <c r="J93" s="11" t="str">
        <f t="shared" si="4"/>
        <v/>
      </c>
      <c r="K93" s="11" t="str">
        <f t="shared" si="4"/>
        <v/>
      </c>
      <c r="L93" s="11" t="str">
        <f t="shared" si="4"/>
        <v/>
      </c>
      <c r="M93" s="2"/>
      <c r="N93" s="15" t="s">
        <v>17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15</v>
      </c>
      <c r="C94" s="11" t="str">
        <f t="shared" ref="C94:L94" si="5">C68</f>
        <v/>
      </c>
      <c r="D94" s="11" t="str">
        <f t="shared" si="5"/>
        <v/>
      </c>
      <c r="E94" s="11" t="str">
        <f t="shared" si="5"/>
        <v/>
      </c>
      <c r="F94" s="11" t="str">
        <f t="shared" si="5"/>
        <v/>
      </c>
      <c r="G94" s="11" t="str">
        <f t="shared" si="5"/>
        <v/>
      </c>
      <c r="H94" s="11" t="str">
        <f t="shared" si="5"/>
        <v/>
      </c>
      <c r="I94" s="11" t="str">
        <f t="shared" si="5"/>
        <v/>
      </c>
      <c r="J94" s="11" t="str">
        <f t="shared" si="5"/>
        <v/>
      </c>
      <c r="K94" s="11" t="str">
        <f t="shared" si="5"/>
        <v/>
      </c>
      <c r="L94" s="11" t="str">
        <f t="shared" si="5"/>
        <v/>
      </c>
      <c r="M94" s="2"/>
      <c r="N94" s="15" t="s">
        <v>18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19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20</v>
      </c>
      <c r="J118" s="8">
        <f t="shared" ref="J118:N118" si="6">rand()</f>
        <v>0.8193062685</v>
      </c>
      <c r="K118" s="8">
        <f t="shared" si="6"/>
        <v>0.7711972378</v>
      </c>
      <c r="L118" s="8">
        <f t="shared" si="6"/>
        <v>0.9444103309</v>
      </c>
      <c r="M118" s="8">
        <f t="shared" si="6"/>
        <v>0.3049800887</v>
      </c>
      <c r="N118" s="8">
        <f t="shared" si="6"/>
        <v>0.5311704033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8">
        <f t="shared" ref="J119:N119" si="7">rand()</f>
        <v>0.1321004038</v>
      </c>
      <c r="K119" s="8">
        <f t="shared" si="7"/>
        <v>0.7016033887</v>
      </c>
      <c r="L119" s="8">
        <f t="shared" si="7"/>
        <v>0.9122506197</v>
      </c>
      <c r="M119" s="8">
        <f t="shared" si="7"/>
        <v>0.7445818916</v>
      </c>
      <c r="N119" s="8">
        <f t="shared" si="7"/>
        <v>0.8575670259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8">
        <f t="shared" ref="J120:N120" si="8">rand()</f>
        <v>0.5917529645</v>
      </c>
      <c r="K120" s="8">
        <f t="shared" si="8"/>
        <v>0.7572268349</v>
      </c>
      <c r="L120" s="8">
        <f t="shared" si="8"/>
        <v>0.9437450552</v>
      </c>
      <c r="M120" s="8">
        <f t="shared" si="8"/>
        <v>0.7107120114</v>
      </c>
      <c r="N120" s="8">
        <f t="shared" si="8"/>
        <v>0.6338132373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8">
        <f t="shared" ref="J121:N121" si="9">rand()</f>
        <v>0.5727106732</v>
      </c>
      <c r="K121" s="8">
        <f t="shared" si="9"/>
        <v>0.9871986697</v>
      </c>
      <c r="L121" s="8">
        <f t="shared" si="9"/>
        <v>0.1849697046</v>
      </c>
      <c r="M121" s="8">
        <f t="shared" si="9"/>
        <v>0.4772920443</v>
      </c>
      <c r="N121" s="8">
        <f t="shared" si="9"/>
        <v>0.2764154634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8">
        <f t="shared" ref="J122:N122" si="10">rand()</f>
        <v>0.8695876118</v>
      </c>
      <c r="K122" s="8">
        <f t="shared" si="10"/>
        <v>0.4909605676</v>
      </c>
      <c r="L122" s="8">
        <f t="shared" si="10"/>
        <v>0.4645321982</v>
      </c>
      <c r="M122" s="8">
        <f t="shared" si="10"/>
        <v>0.1884618711</v>
      </c>
      <c r="N122" s="8">
        <f t="shared" si="10"/>
        <v>0.6751242104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0" t="s">
        <v>22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0" t="s">
        <v>22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23</v>
      </c>
      <c r="C125" s="8">
        <f t="shared" ref="C125:G125" si="11">NORMINV(rand(),0, 1)</f>
        <v>-0.9649515693</v>
      </c>
      <c r="D125" s="8">
        <f t="shared" si="11"/>
        <v>0.5486012683</v>
      </c>
      <c r="E125" s="8">
        <f t="shared" si="11"/>
        <v>1.495281579</v>
      </c>
      <c r="F125" s="8">
        <f t="shared" si="11"/>
        <v>-1.262953635</v>
      </c>
      <c r="G125" s="8">
        <f t="shared" si="11"/>
        <v>-0.0970956611</v>
      </c>
      <c r="H125" s="2"/>
      <c r="I125" s="4" t="s">
        <v>24</v>
      </c>
      <c r="J125" s="8">
        <f t="array" ref="J125:N129">MMULT(C125:G129,J118:N122)</f>
        <v>-0.641023324</v>
      </c>
      <c r="K125" s="8">
        <v>-0.521456428098422</v>
      </c>
      <c r="L125" s="8">
        <v>0.7216039906361222</v>
      </c>
      <c r="M125" s="8">
        <v>0.5558055810481837</v>
      </c>
      <c r="N125" s="8">
        <v>0.4909863561428245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8">
        <f t="shared" ref="C126:G126" si="12">NORMINV(rand(),0, 1)</f>
        <v>-0.5739394933</v>
      </c>
      <c r="D126" s="8">
        <f t="shared" si="12"/>
        <v>-0.3257433335</v>
      </c>
      <c r="E126" s="8">
        <f t="shared" si="12"/>
        <v>0.9250929103</v>
      </c>
      <c r="F126" s="8">
        <f t="shared" si="12"/>
        <v>-2.417489789</v>
      </c>
      <c r="G126" s="8">
        <f t="shared" si="12"/>
        <v>-0.240278055</v>
      </c>
      <c r="H126" s="2"/>
      <c r="I126" s="2"/>
      <c r="J126" s="8">
        <v>-1.5593016031477431</v>
      </c>
      <c r="K126" s="8">
        <v>-2.4751677564192494</v>
      </c>
      <c r="L126" s="8">
        <v>-0.5249213502749432</v>
      </c>
      <c r="M126" s="8">
        <v>-0.9592399575561037</v>
      </c>
      <c r="N126" s="8">
        <v>-0.8283193742259416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8">
        <f t="shared" ref="C127:G127" si="13">NORMINV(rand(),0, 1)</f>
        <v>-1.173131707</v>
      </c>
      <c r="D127" s="8">
        <f t="shared" si="13"/>
        <v>-1.30885095</v>
      </c>
      <c r="E127" s="8">
        <f t="shared" si="13"/>
        <v>0.149159444</v>
      </c>
      <c r="F127" s="8">
        <f t="shared" si="13"/>
        <v>-0.7204511475</v>
      </c>
      <c r="G127" s="8">
        <f t="shared" si="13"/>
        <v>-0.5389459859</v>
      </c>
      <c r="H127" s="10" t="s">
        <v>25</v>
      </c>
      <c r="I127" s="10" t="s">
        <v>25</v>
      </c>
      <c r="J127" s="8">
        <v>-1.9270591717910643</v>
      </c>
      <c r="K127" s="8">
        <v>-2.685892301709078</v>
      </c>
      <c r="L127" s="8">
        <v>-2.544768705586452</v>
      </c>
      <c r="M127" s="8">
        <v>-1.6717554895114968</v>
      </c>
      <c r="N127" s="8">
        <v>-2.2140203492809785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8">
        <f t="shared" ref="C128:G128" si="14">NORMINV(rand(),0, 1)</f>
        <v>0.09932843699</v>
      </c>
      <c r="D128" s="8">
        <f t="shared" si="14"/>
        <v>-0.02936709561</v>
      </c>
      <c r="E128" s="8">
        <f t="shared" si="14"/>
        <v>-0.6297169981</v>
      </c>
      <c r="F128" s="8">
        <f t="shared" si="14"/>
        <v>1.108220266</v>
      </c>
      <c r="G128" s="8">
        <f t="shared" si="14"/>
        <v>-1.447098276</v>
      </c>
      <c r="H128" s="2"/>
      <c r="I128" s="2"/>
      <c r="J128" s="8">
        <v>-0.9188250539490698</v>
      </c>
      <c r="K128" s="8">
        <v>-0.03727546543840243</v>
      </c>
      <c r="L128" s="8">
        <v>-0.9945122203486882</v>
      </c>
      <c r="M128" s="8">
        <v>-0.18289857869066917</v>
      </c>
      <c r="N128" s="8">
        <v>-1.0421887588602425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8">
        <f t="shared" ref="C129:G129" si="15">NORMINV(rand(),0, 1)</f>
        <v>-1.151273066</v>
      </c>
      <c r="D129" s="8">
        <f t="shared" si="15"/>
        <v>-0.6134586685</v>
      </c>
      <c r="E129" s="8">
        <f t="shared" si="15"/>
        <v>-0.5806136972</v>
      </c>
      <c r="F129" s="8">
        <f t="shared" si="15"/>
        <v>0.2926793135</v>
      </c>
      <c r="G129" s="8">
        <f t="shared" si="15"/>
        <v>-0.1433436347</v>
      </c>
      <c r="H129" s="2"/>
      <c r="I129" s="2"/>
      <c r="J129" s="8">
        <v>-1.3248925360165078</v>
      </c>
      <c r="K129" s="8">
        <v>-1.539363004345934</v>
      </c>
      <c r="L129" s="8">
        <v>-2.2073044605834826</v>
      </c>
      <c r="M129" s="8">
        <v>-1.1078560077458584</v>
      </c>
      <c r="N129" s="8">
        <v>-1.5214784215518968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0" t="s">
        <v>22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0" t="s">
        <v>22</v>
      </c>
      <c r="M131" s="2"/>
      <c r="N131" s="2"/>
      <c r="O131" s="16" t="s">
        <v>27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28</v>
      </c>
      <c r="J132" s="18"/>
      <c r="K132" s="19"/>
      <c r="L132" s="19"/>
      <c r="M132" s="19"/>
      <c r="N132" s="20"/>
      <c r="O132" s="21"/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2"/>
      <c r="K133" s="8"/>
      <c r="L133" s="8"/>
      <c r="M133" s="8"/>
      <c r="N133" s="23"/>
      <c r="O133" s="21"/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2"/>
      <c r="K134" s="8"/>
      <c r="L134" s="8"/>
      <c r="M134" s="8"/>
      <c r="N134" s="23"/>
      <c r="O134" s="21"/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2"/>
      <c r="K135" s="8"/>
      <c r="L135" s="8"/>
      <c r="M135" s="8"/>
      <c r="N135" s="23"/>
      <c r="O135" s="21"/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4"/>
      <c r="K136" s="25"/>
      <c r="L136" s="25"/>
      <c r="M136" s="25"/>
      <c r="N136" s="26"/>
      <c r="O136" s="21"/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0" t="s">
        <v>22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10" t="s">
        <v>22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29</v>
      </c>
      <c r="J139" s="11"/>
      <c r="K139" s="11"/>
      <c r="L139" s="11"/>
      <c r="M139" s="11"/>
      <c r="N139" s="11"/>
      <c r="O139" s="2"/>
      <c r="P139" s="2"/>
      <c r="Q139" s="2"/>
      <c r="R139" s="2" t="str">
        <f>IFERROR(__xludf.DUMMYFUNCTION("SPARKLINE(J132/$O132, {""charttype"",""bar""; ""max"",1; ""color1"",""#4285F4""})"),"#DIV/0!")</f>
        <v>#DIV/0!</v>
      </c>
      <c r="S139" s="2" t="str">
        <f>IFERROR(__xludf.DUMMYFUNCTION("SPARKLINE(K132/$O132, {""charttype"",""bar""; ""max"",1; ""color1"",""#4285F4""})"),"#DIV/0!")</f>
        <v>#DIV/0!</v>
      </c>
      <c r="T139" s="2" t="str">
        <f>IFERROR(__xludf.DUMMYFUNCTION("SPARKLINE(L132/$O132, {""charttype"",""bar""; ""max"",1; ""color1"",""#4285F4""})"),"#DIV/0!")</f>
        <v>#DIV/0!</v>
      </c>
      <c r="U139" s="2" t="str">
        <f>IFERROR(__xludf.DUMMYFUNCTION("SPARKLINE(M132/$O132, {""charttype"",""bar""; ""max"",1; ""color1"",""#4285F4""})"),"#DIV/0!")</f>
        <v>#DIV/0!</v>
      </c>
      <c r="V139" s="2" t="str">
        <f>IFERROR(__xludf.DUMMYFUNCTION("SPARKLINE(N132/$O132, {""charttype"",""bar""; ""max"",1; ""color1"",""#4285F4""})"),"#DIV/0!")</f>
        <v>#DIV/0!</v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11"/>
      <c r="K140" s="11"/>
      <c r="L140" s="11"/>
      <c r="M140" s="11"/>
      <c r="N140" s="11"/>
      <c r="O140" s="2"/>
      <c r="P140" s="2"/>
      <c r="Q140" s="2"/>
      <c r="R140" s="2" t="str">
        <f>IFERROR(__xludf.DUMMYFUNCTION("SPARKLINE(J133/$O133, {""charttype"",""bar""; ""max"",1; ""color1"",""#4285F4""})"),"#DIV/0!")</f>
        <v>#DIV/0!</v>
      </c>
      <c r="S140" s="2" t="str">
        <f>IFERROR(__xludf.DUMMYFUNCTION("SPARKLINE(K133/$O133, {""charttype"",""bar""; ""max"",1; ""color1"",""#4285F4""})"),"#DIV/0!")</f>
        <v>#DIV/0!</v>
      </c>
      <c r="T140" s="2" t="str">
        <f>IFERROR(__xludf.DUMMYFUNCTION("SPARKLINE(L133/$O133, {""charttype"",""bar""; ""max"",1; ""color1"",""#4285F4""})"),"#DIV/0!")</f>
        <v>#DIV/0!</v>
      </c>
      <c r="U140" s="2" t="str">
        <f>IFERROR(__xludf.DUMMYFUNCTION("SPARKLINE(M133/$O133, {""charttype"",""bar""; ""max"",1; ""color1"",""#4285F4""})"),"#DIV/0!")</f>
        <v>#DIV/0!</v>
      </c>
      <c r="V140" s="2" t="str">
        <f>IFERROR(__xludf.DUMMYFUNCTION("SPARKLINE(N133/$O133, {""charttype"",""bar""; ""max"",1; ""color1"",""#4285F4""})"),"#DIV/0!")</f>
        <v>#DIV/0!</v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11"/>
      <c r="K141" s="11"/>
      <c r="L141" s="11"/>
      <c r="M141" s="11"/>
      <c r="N141" s="11"/>
      <c r="O141" s="2"/>
      <c r="P141" s="2"/>
      <c r="Q141" s="2"/>
      <c r="R141" s="2" t="str">
        <f>IFERROR(__xludf.DUMMYFUNCTION("SPARKLINE(J134/$O134, {""charttype"",""bar""; ""max"",1; ""color1"",""#4285F4""})"),"#DIV/0!")</f>
        <v>#DIV/0!</v>
      </c>
      <c r="S141" s="2" t="str">
        <f>IFERROR(__xludf.DUMMYFUNCTION("SPARKLINE(K134/$O134, {""charttype"",""bar""; ""max"",1; ""color1"",""#4285F4""})"),"#DIV/0!")</f>
        <v>#DIV/0!</v>
      </c>
      <c r="T141" s="2" t="str">
        <f>IFERROR(__xludf.DUMMYFUNCTION("SPARKLINE(L134/$O134, {""charttype"",""bar""; ""max"",1; ""color1"",""#4285F4""})"),"#DIV/0!")</f>
        <v>#DIV/0!</v>
      </c>
      <c r="U141" s="2" t="str">
        <f>IFERROR(__xludf.DUMMYFUNCTION("SPARKLINE(M134/$O134, {""charttype"",""bar""; ""max"",1; ""color1"",""#4285F4""})"),"#DIV/0!")</f>
        <v>#DIV/0!</v>
      </c>
      <c r="V141" s="2" t="str">
        <f>IFERROR(__xludf.DUMMYFUNCTION("SPARKLINE(N134/$O134, {""charttype"",""bar""; ""max"",1; ""color1"",""#4285F4""})"),"#DIV/0!")</f>
        <v>#DIV/0!</v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11"/>
      <c r="K142" s="11"/>
      <c r="L142" s="11"/>
      <c r="M142" s="11"/>
      <c r="N142" s="11"/>
      <c r="O142" s="2"/>
      <c r="P142" s="2"/>
      <c r="Q142" s="2"/>
      <c r="R142" s="2" t="str">
        <f>IFERROR(__xludf.DUMMYFUNCTION("SPARKLINE(J135/$O135, {""charttype"",""bar""; ""max"",1; ""color1"",""#4285F4""})"),"#DIV/0!")</f>
        <v>#DIV/0!</v>
      </c>
      <c r="S142" s="2" t="str">
        <f>IFERROR(__xludf.DUMMYFUNCTION("SPARKLINE(K135/$O135, {""charttype"",""bar""; ""max"",1; ""color1"",""#4285F4""})"),"#DIV/0!")</f>
        <v>#DIV/0!</v>
      </c>
      <c r="T142" s="2" t="str">
        <f>IFERROR(__xludf.DUMMYFUNCTION("SPARKLINE(L135/$O135, {""charttype"",""bar""; ""max"",1; ""color1"",""#4285F4""})"),"#DIV/0!")</f>
        <v>#DIV/0!</v>
      </c>
      <c r="U142" s="2" t="str">
        <f>IFERROR(__xludf.DUMMYFUNCTION("SPARKLINE(M135/$O135, {""charttype"",""bar""; ""max"",1; ""color1"",""#4285F4""})"),"#DIV/0!")</f>
        <v>#DIV/0!</v>
      </c>
      <c r="V142" s="2" t="str">
        <f>IFERROR(__xludf.DUMMYFUNCTION("SPARKLINE(N135/$O135, {""charttype"",""bar""; ""max"",1; ""color1"",""#4285F4""})"),"#DIV/0!")</f>
        <v>#DIV/0!</v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11"/>
      <c r="K143" s="11"/>
      <c r="L143" s="11"/>
      <c r="M143" s="11"/>
      <c r="N143" s="11"/>
      <c r="O143" s="2"/>
      <c r="P143" s="2"/>
      <c r="Q143" s="2"/>
      <c r="R143" s="2" t="str">
        <f>IFERROR(__xludf.DUMMYFUNCTION("SPARKLINE(J136/$O136, {""charttype"",""bar""; ""max"",1; ""color1"",""#4285F4""})"),"#DIV/0!")</f>
        <v>#DIV/0!</v>
      </c>
      <c r="S143" s="2" t="str">
        <f>IFERROR(__xludf.DUMMYFUNCTION("SPARKLINE(K136/$O136, {""charttype"",""bar""; ""max"",1; ""color1"",""#4285F4""})"),"#DIV/0!")</f>
        <v>#DIV/0!</v>
      </c>
      <c r="T143" s="2" t="str">
        <f>IFERROR(__xludf.DUMMYFUNCTION("SPARKLINE(L136/$O136, {""charttype"",""bar""; ""max"",1; ""color1"",""#4285F4""})"),"#DIV/0!")</f>
        <v>#DIV/0!</v>
      </c>
      <c r="U143" s="2" t="str">
        <f>IFERROR(__xludf.DUMMYFUNCTION("SPARKLINE(M136/$O136, {""charttype"",""bar""; ""max"",1; ""color1"",""#4285F4""})"),"#DIV/0!")</f>
        <v>#DIV/0!</v>
      </c>
      <c r="V143" s="2" t="str">
        <f>IFERROR(__xludf.DUMMYFUNCTION("SPARKLINE(N136/$O136, {""charttype"",""bar""; ""max"",1; ""color1"",""#4285F4""})"),"#DIV/0!")</f>
        <v>#DIV/0!</v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8">
        <f t="shared" ref="C4:L4" si="1">norminv(rand(), 0, 7)</f>
        <v>-1.148659664</v>
      </c>
      <c r="D4" s="8">
        <f t="shared" si="1"/>
        <v>8.918866869</v>
      </c>
      <c r="E4" s="8">
        <f t="shared" si="1"/>
        <v>-4.170303245</v>
      </c>
      <c r="F4" s="8">
        <f t="shared" si="1"/>
        <v>-7.042649709</v>
      </c>
      <c r="G4" s="8">
        <f t="shared" si="1"/>
        <v>13.56029037</v>
      </c>
      <c r="H4" s="8">
        <f t="shared" si="1"/>
        <v>-6.759643377</v>
      </c>
      <c r="I4" s="8">
        <f t="shared" si="1"/>
        <v>-1.119817357</v>
      </c>
      <c r="J4" s="8">
        <f t="shared" si="1"/>
        <v>2.510312092</v>
      </c>
      <c r="K4" s="8">
        <f t="shared" si="1"/>
        <v>-4.36953037</v>
      </c>
      <c r="L4" s="8">
        <f t="shared" si="1"/>
        <v>0.2974921938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8">
        <f t="shared" ref="C9:L9" si="2">C$4</f>
        <v>-1.148659664</v>
      </c>
      <c r="D9" s="8">
        <f t="shared" si="2"/>
        <v>8.918866869</v>
      </c>
      <c r="E9" s="8">
        <f t="shared" si="2"/>
        <v>-4.170303245</v>
      </c>
      <c r="F9" s="8">
        <f t="shared" si="2"/>
        <v>-7.042649709</v>
      </c>
      <c r="G9" s="8">
        <f t="shared" si="2"/>
        <v>13.56029037</v>
      </c>
      <c r="H9" s="8">
        <f t="shared" si="2"/>
        <v>-6.759643377</v>
      </c>
      <c r="I9" s="8">
        <f t="shared" si="2"/>
        <v>-1.119817357</v>
      </c>
      <c r="J9" s="8">
        <f t="shared" si="2"/>
        <v>2.510312092</v>
      </c>
      <c r="K9" s="8">
        <f t="shared" si="2"/>
        <v>-4.36953037</v>
      </c>
      <c r="L9" s="8">
        <f t="shared" si="2"/>
        <v>0.2974921938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8">
        <f>min(C9:L9)</f>
        <v>-7.042649709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  <c r="S11" s="2"/>
      <c r="T11" s="2"/>
      <c r="U11" s="2"/>
      <c r="V11" s="2"/>
      <c r="W11" s="2"/>
      <c r="X11" s="2"/>
      <c r="Y11" s="2"/>
      <c r="Z11" s="2"/>
    </row>
    <row r="12">
      <c r="B12" s="4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8">
        <f t="shared" ref="C13:L13" si="3">C9-$C$11</f>
        <v>5.893990045</v>
      </c>
      <c r="D13" s="8">
        <f t="shared" si="3"/>
        <v>15.96151658</v>
      </c>
      <c r="E13" s="8">
        <f t="shared" si="3"/>
        <v>2.872346464</v>
      </c>
      <c r="F13" s="8">
        <f t="shared" si="3"/>
        <v>0</v>
      </c>
      <c r="G13" s="8">
        <f t="shared" si="3"/>
        <v>20.60294008</v>
      </c>
      <c r="H13" s="8">
        <f t="shared" si="3"/>
        <v>0.2830063319</v>
      </c>
      <c r="I13" s="8">
        <f t="shared" si="3"/>
        <v>5.922832352</v>
      </c>
      <c r="J13" s="8">
        <f t="shared" si="3"/>
        <v>9.552961801</v>
      </c>
      <c r="K13" s="8">
        <f t="shared" si="3"/>
        <v>2.673119339</v>
      </c>
      <c r="L13" s="8">
        <f t="shared" si="3"/>
        <v>7.340141903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8">
        <f>sum(C13:L13)</f>
        <v>71.10285489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11">
        <f t="shared" ref="C17:L17" si="4">C13/$C15</f>
        <v>0.08289385924</v>
      </c>
      <c r="D17" s="11">
        <f t="shared" si="4"/>
        <v>0.2244848903</v>
      </c>
      <c r="E17" s="11">
        <f t="shared" si="4"/>
        <v>0.04039706237</v>
      </c>
      <c r="F17" s="11">
        <f t="shared" si="4"/>
        <v>0</v>
      </c>
      <c r="G17" s="11">
        <f t="shared" si="4"/>
        <v>0.2897624872</v>
      </c>
      <c r="H17" s="11">
        <f t="shared" si="4"/>
        <v>0.00398023866</v>
      </c>
      <c r="I17" s="11">
        <f t="shared" si="4"/>
        <v>0.08329950127</v>
      </c>
      <c r="J17" s="11">
        <f t="shared" si="4"/>
        <v>0.1343541243</v>
      </c>
      <c r="K17" s="11">
        <f t="shared" si="4"/>
        <v>0.03759510561</v>
      </c>
      <c r="L17" s="11">
        <f t="shared" si="4"/>
        <v>0.1032327311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21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12">
        <f t="array" ref="C38:L38">SEQUENCE(1, 10, -2, 0.3)</f>
        <v>-2</v>
      </c>
      <c r="D38" s="12">
        <v>-1.7</v>
      </c>
      <c r="E38" s="12">
        <v>-1.4</v>
      </c>
      <c r="F38" s="12">
        <v>-1.0999999999999999</v>
      </c>
      <c r="G38" s="12">
        <v>-0.7999999999999998</v>
      </c>
      <c r="H38" s="12">
        <v>-0.49999999999999983</v>
      </c>
      <c r="I38" s="12">
        <v>-0.19999999999999984</v>
      </c>
      <c r="J38" s="12">
        <v>0.10000000000000014</v>
      </c>
      <c r="K38" s="12">
        <v>0.40000000000000013</v>
      </c>
      <c r="L38" s="12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8">
        <f t="shared" ref="C40:V40" si="5">exp(C38)</f>
        <v>0.1353352832</v>
      </c>
      <c r="D40" s="8">
        <f t="shared" si="5"/>
        <v>0.1826835241</v>
      </c>
      <c r="E40" s="8">
        <f t="shared" si="5"/>
        <v>0.2465969639</v>
      </c>
      <c r="F40" s="8">
        <f t="shared" si="5"/>
        <v>0.3328710837</v>
      </c>
      <c r="G40" s="8">
        <f t="shared" si="5"/>
        <v>0.4493289641</v>
      </c>
      <c r="H40" s="8">
        <f t="shared" si="5"/>
        <v>0.6065306597</v>
      </c>
      <c r="I40" s="8">
        <f t="shared" si="5"/>
        <v>0.8187307531</v>
      </c>
      <c r="J40" s="8">
        <f t="shared" si="5"/>
        <v>1.105170918</v>
      </c>
      <c r="K40" s="8">
        <f t="shared" si="5"/>
        <v>1.491824698</v>
      </c>
      <c r="L40" s="8">
        <f t="shared" si="5"/>
        <v>2.013752707</v>
      </c>
      <c r="M40" s="8">
        <f t="shared" si="5"/>
        <v>2.718281828</v>
      </c>
      <c r="N40" s="8">
        <f t="shared" si="5"/>
        <v>7.389056099</v>
      </c>
      <c r="O40" s="8">
        <f t="shared" si="5"/>
        <v>20.08553692</v>
      </c>
      <c r="P40" s="8">
        <f t="shared" si="5"/>
        <v>54.59815003</v>
      </c>
      <c r="Q40" s="8">
        <f t="shared" si="5"/>
        <v>148.4131591</v>
      </c>
      <c r="R40" s="8">
        <f t="shared" si="5"/>
        <v>403.4287935</v>
      </c>
      <c r="S40" s="8">
        <f t="shared" si="5"/>
        <v>1096.633158</v>
      </c>
      <c r="T40" s="8">
        <f t="shared" si="5"/>
        <v>2980.957987</v>
      </c>
      <c r="U40" s="8">
        <f t="shared" si="5"/>
        <v>8103.083928</v>
      </c>
      <c r="V40" s="8">
        <f t="shared" si="5"/>
        <v>22026.46579</v>
      </c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26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8">
        <f t="shared" ref="C63:L63" si="6">C$4</f>
        <v>-1.148659664</v>
      </c>
      <c r="D63" s="8">
        <f t="shared" si="6"/>
        <v>8.918866869</v>
      </c>
      <c r="E63" s="8">
        <f t="shared" si="6"/>
        <v>-4.170303245</v>
      </c>
      <c r="F63" s="8">
        <f t="shared" si="6"/>
        <v>-7.042649709</v>
      </c>
      <c r="G63" s="8">
        <f t="shared" si="6"/>
        <v>13.56029037</v>
      </c>
      <c r="H63" s="8">
        <f t="shared" si="6"/>
        <v>-6.759643377</v>
      </c>
      <c r="I63" s="8">
        <f t="shared" si="6"/>
        <v>-1.119817357</v>
      </c>
      <c r="J63" s="8">
        <f t="shared" si="6"/>
        <v>2.510312092</v>
      </c>
      <c r="K63" s="8">
        <f t="shared" si="6"/>
        <v>-4.36953037</v>
      </c>
      <c r="L63" s="8">
        <f t="shared" si="6"/>
        <v>0.2974921938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>
        <f t="shared" ref="C65:L65" si="7">exp(C63)</f>
        <v>0.3170614536</v>
      </c>
      <c r="D65" s="13">
        <f t="shared" si="7"/>
        <v>7471.618112</v>
      </c>
      <c r="E65" s="13">
        <f t="shared" si="7"/>
        <v>0.01544757501</v>
      </c>
      <c r="F65" s="13">
        <f t="shared" si="7"/>
        <v>0.0008738081547</v>
      </c>
      <c r="G65" s="13">
        <f t="shared" si="7"/>
        <v>774745.8898</v>
      </c>
      <c r="H65" s="13">
        <f t="shared" si="7"/>
        <v>0.001159642655</v>
      </c>
      <c r="I65" s="13">
        <f t="shared" si="7"/>
        <v>0.3263393927</v>
      </c>
      <c r="J65" s="13">
        <f t="shared" si="7"/>
        <v>12.30877093</v>
      </c>
      <c r="K65" s="13">
        <f t="shared" si="7"/>
        <v>0.01265718336</v>
      </c>
      <c r="L65" s="13">
        <f t="shared" si="7"/>
        <v>1.346477864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14</v>
      </c>
      <c r="C66" s="13">
        <f>sum(C65:L65)</f>
        <v>782231.8367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15</v>
      </c>
      <c r="C68" s="11">
        <f t="shared" ref="C68:L68" si="8">C65/$C66</f>
        <v>0.0000004053292626</v>
      </c>
      <c r="D68" s="11">
        <f t="shared" si="8"/>
        <v>0.009551667116</v>
      </c>
      <c r="E68" s="11">
        <f t="shared" si="8"/>
        <v>0.00000001974807759</v>
      </c>
      <c r="F68" s="11">
        <f t="shared" si="8"/>
        <v>0.000000001117070559</v>
      </c>
      <c r="G68" s="11">
        <f t="shared" si="8"/>
        <v>0.9904300151</v>
      </c>
      <c r="H68" s="11">
        <f t="shared" si="8"/>
        <v>0.000000001482479491</v>
      </c>
      <c r="I68" s="11">
        <f t="shared" si="8"/>
        <v>0.0000004171901185</v>
      </c>
      <c r="J68" s="11">
        <f t="shared" si="8"/>
        <v>0.00001573545125</v>
      </c>
      <c r="K68" s="11">
        <f t="shared" si="8"/>
        <v>0.00000001618085939</v>
      </c>
      <c r="L68" s="11">
        <f t="shared" si="8"/>
        <v>0.000001721328385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16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9">C$4</f>
        <v>-1.148659664</v>
      </c>
      <c r="D92" s="14">
        <f t="shared" si="9"/>
        <v>8.918866869</v>
      </c>
      <c r="E92" s="14">
        <f t="shared" si="9"/>
        <v>-4.170303245</v>
      </c>
      <c r="F92" s="14">
        <f t="shared" si="9"/>
        <v>-7.042649709</v>
      </c>
      <c r="G92" s="14">
        <f t="shared" si="9"/>
        <v>13.56029037</v>
      </c>
      <c r="H92" s="14">
        <f t="shared" si="9"/>
        <v>-6.759643377</v>
      </c>
      <c r="I92" s="14">
        <f t="shared" si="9"/>
        <v>-1.119817357</v>
      </c>
      <c r="J92" s="14">
        <f t="shared" si="9"/>
        <v>2.510312092</v>
      </c>
      <c r="K92" s="14">
        <f t="shared" si="9"/>
        <v>-4.36953037</v>
      </c>
      <c r="L92" s="14">
        <f t="shared" si="9"/>
        <v>0.2974921938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11">
        <f t="shared" ref="C93:L93" si="10">C17</f>
        <v>0.08289385924</v>
      </c>
      <c r="D93" s="11">
        <f t="shared" si="10"/>
        <v>0.2244848903</v>
      </c>
      <c r="E93" s="11">
        <f t="shared" si="10"/>
        <v>0.04039706237</v>
      </c>
      <c r="F93" s="11">
        <f t="shared" si="10"/>
        <v>0</v>
      </c>
      <c r="G93" s="11">
        <f t="shared" si="10"/>
        <v>0.2897624872</v>
      </c>
      <c r="H93" s="11">
        <f t="shared" si="10"/>
        <v>0.00398023866</v>
      </c>
      <c r="I93" s="11">
        <f t="shared" si="10"/>
        <v>0.08329950127</v>
      </c>
      <c r="J93" s="11">
        <f t="shared" si="10"/>
        <v>0.1343541243</v>
      </c>
      <c r="K93" s="11">
        <f t="shared" si="10"/>
        <v>0.03759510561</v>
      </c>
      <c r="L93" s="11">
        <f t="shared" si="10"/>
        <v>0.1032327311</v>
      </c>
      <c r="M93" s="2"/>
      <c r="N93" s="15" t="s">
        <v>17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15</v>
      </c>
      <c r="C94" s="11">
        <f t="shared" ref="C94:L94" si="11">C68</f>
        <v>0.0000004053292626</v>
      </c>
      <c r="D94" s="11">
        <f t="shared" si="11"/>
        <v>0.009551667116</v>
      </c>
      <c r="E94" s="11">
        <f t="shared" si="11"/>
        <v>0.00000001974807759</v>
      </c>
      <c r="F94" s="11">
        <f t="shared" si="11"/>
        <v>0.000000001117070559</v>
      </c>
      <c r="G94" s="11">
        <f t="shared" si="11"/>
        <v>0.9904300151</v>
      </c>
      <c r="H94" s="11">
        <f t="shared" si="11"/>
        <v>0.000000001482479491</v>
      </c>
      <c r="I94" s="11">
        <f t="shared" si="11"/>
        <v>0.0000004171901185</v>
      </c>
      <c r="J94" s="11">
        <f t="shared" si="11"/>
        <v>0.00001573545125</v>
      </c>
      <c r="K94" s="11">
        <f t="shared" si="11"/>
        <v>0.00000001618085939</v>
      </c>
      <c r="L94" s="11">
        <f t="shared" si="11"/>
        <v>0.000001721328385</v>
      </c>
      <c r="M94" s="2"/>
      <c r="N94" s="15" t="s">
        <v>18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19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20</v>
      </c>
      <c r="J118" s="8">
        <f t="shared" ref="J118:N118" si="12">rand()</f>
        <v>0.8558424694</v>
      </c>
      <c r="K118" s="8">
        <f t="shared" si="12"/>
        <v>0.6540791529</v>
      </c>
      <c r="L118" s="8">
        <f t="shared" si="12"/>
        <v>0.007604026818</v>
      </c>
      <c r="M118" s="8">
        <f t="shared" si="12"/>
        <v>0.1528140889</v>
      </c>
      <c r="N118" s="8">
        <f t="shared" si="12"/>
        <v>0.2837032083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8">
        <f t="shared" ref="J119:N119" si="13">rand()</f>
        <v>0.3435807615</v>
      </c>
      <c r="K119" s="8">
        <f t="shared" si="13"/>
        <v>0.6452847105</v>
      </c>
      <c r="L119" s="8">
        <f t="shared" si="13"/>
        <v>0.4887830315</v>
      </c>
      <c r="M119" s="8">
        <f t="shared" si="13"/>
        <v>0.4471574975</v>
      </c>
      <c r="N119" s="8">
        <f t="shared" si="13"/>
        <v>0.1874971418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8">
        <f t="shared" ref="J120:N120" si="14">rand()</f>
        <v>0.277693225</v>
      </c>
      <c r="K120" s="8">
        <f t="shared" si="14"/>
        <v>0.6206626563</v>
      </c>
      <c r="L120" s="8">
        <f t="shared" si="14"/>
        <v>0.2437580764</v>
      </c>
      <c r="M120" s="8">
        <f t="shared" si="14"/>
        <v>0.1911059228</v>
      </c>
      <c r="N120" s="8">
        <f t="shared" si="14"/>
        <v>0.6522577174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8">
        <f t="shared" ref="J121:N121" si="15">rand()</f>
        <v>0.647161021</v>
      </c>
      <c r="K121" s="8">
        <f t="shared" si="15"/>
        <v>0.3713052566</v>
      </c>
      <c r="L121" s="8">
        <f t="shared" si="15"/>
        <v>0.9530668332</v>
      </c>
      <c r="M121" s="8">
        <f t="shared" si="15"/>
        <v>0.7233410237</v>
      </c>
      <c r="N121" s="8">
        <f t="shared" si="15"/>
        <v>0.671251901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8">
        <f t="shared" ref="J122:N122" si="16">rand()</f>
        <v>0.9548449127</v>
      </c>
      <c r="K122" s="8">
        <f t="shared" si="16"/>
        <v>0.7950108109</v>
      </c>
      <c r="L122" s="8">
        <f t="shared" si="16"/>
        <v>0.2627604338</v>
      </c>
      <c r="M122" s="8">
        <f t="shared" si="16"/>
        <v>0.009603458398</v>
      </c>
      <c r="N122" s="8">
        <f t="shared" si="16"/>
        <v>0.6641920805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0" t="s">
        <v>22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0" t="s">
        <v>22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23</v>
      </c>
      <c r="C125" s="8">
        <f t="shared" ref="C125:G125" si="17">NORMINV(rand(),0, 1)</f>
        <v>-0.754607348</v>
      </c>
      <c r="D125" s="8">
        <f t="shared" si="17"/>
        <v>1.51326659</v>
      </c>
      <c r="E125" s="8">
        <f t="shared" si="17"/>
        <v>-1.138821274</v>
      </c>
      <c r="F125" s="8">
        <f t="shared" si="17"/>
        <v>-0.134995489</v>
      </c>
      <c r="G125" s="8">
        <f t="shared" si="17"/>
        <v>-0.309808237</v>
      </c>
      <c r="H125" s="2"/>
      <c r="I125" s="4" t="s">
        <v>24</v>
      </c>
      <c r="J125" s="8">
        <f t="array" ref="J125:N129">MMULT(C125:G129,J118:N122)</f>
        <v>-0.8253213188</v>
      </c>
      <c r="K125" s="8">
        <v>-0.5203344111808745</v>
      </c>
      <c r="L125" s="8">
        <v>0.24625902359248636</v>
      </c>
      <c r="M125" s="8">
        <v>0.24309537079260823</v>
      </c>
      <c r="N125" s="8">
        <v>-0.9695444862456974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8">
        <f t="shared" ref="C126:G126" si="18">NORMINV(rand(),0, 1)</f>
        <v>-0.09666051355</v>
      </c>
      <c r="D126" s="8">
        <f t="shared" si="18"/>
        <v>-1.327027789</v>
      </c>
      <c r="E126" s="8">
        <f t="shared" si="18"/>
        <v>-1.708329253</v>
      </c>
      <c r="F126" s="8">
        <f t="shared" si="18"/>
        <v>2.288147153</v>
      </c>
      <c r="G126" s="8">
        <f t="shared" si="18"/>
        <v>1.367984449</v>
      </c>
      <c r="H126" s="2"/>
      <c r="I126" s="2"/>
      <c r="J126" s="8">
        <v>1.773953789379347</v>
      </c>
      <c r="K126" s="8">
        <v>-0.04266704914479891</v>
      </c>
      <c r="L126" s="8">
        <v>1.4744266211394672</v>
      </c>
      <c r="M126" s="8">
        <v>0.7336147338827255</v>
      </c>
      <c r="N126" s="8">
        <v>1.0540198090433468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8">
        <f t="shared" ref="C127:G127" si="19">NORMINV(rand(),0, 1)</f>
        <v>-0.4582130479</v>
      </c>
      <c r="D127" s="8">
        <f t="shared" si="19"/>
        <v>-1.03239408</v>
      </c>
      <c r="E127" s="8">
        <f t="shared" si="19"/>
        <v>-0.04487155379</v>
      </c>
      <c r="F127" s="8">
        <f t="shared" si="19"/>
        <v>-1.102547219</v>
      </c>
      <c r="G127" s="8">
        <f t="shared" si="19"/>
        <v>-0.5449935075</v>
      </c>
      <c r="H127" s="10" t="s">
        <v>25</v>
      </c>
      <c r="I127" s="10" t="s">
        <v>25</v>
      </c>
      <c r="J127" s="8">
        <v>-1.9932393194075304</v>
      </c>
      <c r="K127" s="8">
        <v>-1.8364031237462757</v>
      </c>
      <c r="L127" s="8">
        <v>-1.7130426934722442</v>
      </c>
      <c r="M127" s="8">
        <v>-1.3429908393353072</v>
      </c>
      <c r="N127" s="8">
        <v>-1.454902556790363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8">
        <f t="shared" ref="C128:G128" si="20">NORMINV(rand(),0, 1)</f>
        <v>-1.132071539</v>
      </c>
      <c r="D128" s="8">
        <f t="shared" si="20"/>
        <v>-0.2102849521</v>
      </c>
      <c r="E128" s="8">
        <f t="shared" si="20"/>
        <v>0.7952893492</v>
      </c>
      <c r="F128" s="8">
        <f t="shared" si="20"/>
        <v>-0.7703732526</v>
      </c>
      <c r="G128" s="8">
        <f t="shared" si="20"/>
        <v>-0.04919248901</v>
      </c>
      <c r="H128" s="2"/>
      <c r="I128" s="2"/>
      <c r="J128" s="8">
        <v>-1.3658050397158525</v>
      </c>
      <c r="K128" s="8">
        <v>-0.707703856466225</v>
      </c>
      <c r="L128" s="8">
        <v>-0.6646768527548643</v>
      </c>
      <c r="M128" s="8">
        <v>-0.6727574639071053</v>
      </c>
      <c r="N128" s="8">
        <v>-0.39165431133847545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8">
        <f t="shared" ref="C129:G129" si="21">NORMINV(rand(),0, 1)</f>
        <v>-0.6149689565</v>
      </c>
      <c r="D129" s="8">
        <f t="shared" si="21"/>
        <v>-0.854637387</v>
      </c>
      <c r="E129" s="8">
        <f t="shared" si="21"/>
        <v>1.970919631</v>
      </c>
      <c r="F129" s="8">
        <f t="shared" si="21"/>
        <v>0.8565464425</v>
      </c>
      <c r="G129" s="8">
        <f t="shared" si="21"/>
        <v>0.9055022659</v>
      </c>
      <c r="H129" s="2"/>
      <c r="I129" s="2"/>
      <c r="J129" s="8">
        <v>1.1462952163775326</v>
      </c>
      <c r="K129" s="8">
        <v>1.3074776880101182</v>
      </c>
      <c r="L129" s="8">
        <v>1.1122952584359127</v>
      </c>
      <c r="M129" s="8">
        <v>0.5287921128087986</v>
      </c>
      <c r="N129" s="8">
        <v>2.127222668200782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0" t="s">
        <v>22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0" t="s">
        <v>22</v>
      </c>
      <c r="M131" s="2"/>
      <c r="N131" s="2"/>
      <c r="O131" s="16" t="s">
        <v>27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28</v>
      </c>
      <c r="J132" s="8">
        <f t="shared" ref="J132:N132" si="22">exp(J125)</f>
        <v>0.438094202</v>
      </c>
      <c r="K132" s="8">
        <f t="shared" si="22"/>
        <v>0.5943217669</v>
      </c>
      <c r="L132" s="8">
        <f t="shared" si="22"/>
        <v>1.279230882</v>
      </c>
      <c r="M132" s="8">
        <f t="shared" si="22"/>
        <v>1.275190234</v>
      </c>
      <c r="N132" s="8">
        <f t="shared" si="22"/>
        <v>0.379255755</v>
      </c>
      <c r="O132" s="27">
        <f t="shared" ref="O132:O136" si="24">Sum(J132:N132)</f>
        <v>3.96609284</v>
      </c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8">
        <f t="shared" ref="J133:N133" si="23">exp(J126)</f>
        <v>5.894111427</v>
      </c>
      <c r="K133" s="8">
        <f t="shared" si="23"/>
        <v>0.9582303806</v>
      </c>
      <c r="L133" s="8">
        <f t="shared" si="23"/>
        <v>4.368530232</v>
      </c>
      <c r="M133" s="8">
        <f t="shared" si="23"/>
        <v>2.082595045</v>
      </c>
      <c r="N133" s="8">
        <f t="shared" si="23"/>
        <v>2.869161449</v>
      </c>
      <c r="O133" s="27">
        <f t="shared" si="24"/>
        <v>16.17262853</v>
      </c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8">
        <f t="shared" ref="J134:N134" si="25">exp(J127)</f>
        <v>0.1362533417</v>
      </c>
      <c r="K134" s="8">
        <f t="shared" si="25"/>
        <v>0.1593897013</v>
      </c>
      <c r="L134" s="8">
        <f t="shared" si="25"/>
        <v>0.1803163098</v>
      </c>
      <c r="M134" s="8">
        <f t="shared" si="25"/>
        <v>0.2610637002</v>
      </c>
      <c r="N134" s="8">
        <f t="shared" si="25"/>
        <v>0.2334231083</v>
      </c>
      <c r="O134" s="27">
        <f t="shared" si="24"/>
        <v>0.9704461614</v>
      </c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8">
        <f t="shared" ref="J135:N135" si="26">exp(J128)</f>
        <v>0.2551751671</v>
      </c>
      <c r="K135" s="8">
        <f t="shared" si="26"/>
        <v>0.4927743801</v>
      </c>
      <c r="L135" s="8">
        <f t="shared" si="26"/>
        <v>0.5144397406</v>
      </c>
      <c r="M135" s="8">
        <f t="shared" si="26"/>
        <v>0.5102995035</v>
      </c>
      <c r="N135" s="8">
        <f t="shared" si="26"/>
        <v>0.6759377376</v>
      </c>
      <c r="O135" s="27">
        <f t="shared" si="24"/>
        <v>2.448626529</v>
      </c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8">
        <f t="shared" ref="J136:N136" si="27">exp(J129)</f>
        <v>3.146514135</v>
      </c>
      <c r="K136" s="8">
        <f t="shared" si="27"/>
        <v>3.696837365</v>
      </c>
      <c r="L136" s="8">
        <f t="shared" si="27"/>
        <v>3.04133103</v>
      </c>
      <c r="M136" s="8">
        <f t="shared" si="27"/>
        <v>1.696881429</v>
      </c>
      <c r="N136" s="8">
        <f t="shared" si="27"/>
        <v>8.391528359</v>
      </c>
      <c r="O136" s="27">
        <f t="shared" si="24"/>
        <v>19.97309232</v>
      </c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0" t="s">
        <v>22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10" t="s">
        <v>22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29</v>
      </c>
      <c r="J139" s="11">
        <f t="shared" ref="J139:N139" si="28">J132/$O132</f>
        <v>0.1104598958</v>
      </c>
      <c r="K139" s="11">
        <f t="shared" si="28"/>
        <v>0.1498506946</v>
      </c>
      <c r="L139" s="11">
        <f t="shared" si="28"/>
        <v>0.3225418399</v>
      </c>
      <c r="M139" s="11">
        <f t="shared" si="28"/>
        <v>0.3215230419</v>
      </c>
      <c r="N139" s="11">
        <f t="shared" si="28"/>
        <v>0.09562452779</v>
      </c>
      <c r="O139" s="2"/>
      <c r="P139" s="2"/>
      <c r="Q139" s="2"/>
      <c r="R139" s="2" t="str">
        <f>IFERROR(__xludf.DUMMYFUNCTION("SPARKLINE(J132/$O132, {""charttype"",""bar""; ""max"",1; ""color1"",""#4285F4""})"),"")</f>
        <v/>
      </c>
      <c r="S139" s="2" t="str">
        <f>IFERROR(__xludf.DUMMYFUNCTION("SPARKLINE(K132/$O132, {""charttype"",""bar""; ""max"",1; ""color1"",""#4285F4""})"),"")</f>
        <v/>
      </c>
      <c r="T139" s="2" t="str">
        <f>IFERROR(__xludf.DUMMYFUNCTION("SPARKLINE(L132/$O132, {""charttype"",""bar""; ""max"",1; ""color1"",""#4285F4""})"),"")</f>
        <v/>
      </c>
      <c r="U139" s="2" t="str">
        <f>IFERROR(__xludf.DUMMYFUNCTION("SPARKLINE(M132/$O132, {""charttype"",""bar""; ""max"",1; ""color1"",""#4285F4""})"),"")</f>
        <v/>
      </c>
      <c r="V139" s="2" t="str">
        <f>IFERROR(__xludf.DUMMYFUNCTION("SPARKLINE(N132/$O132, {""charttype"",""bar""; ""max"",1; ""color1"",""#4285F4""})"),"")</f>
        <v/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11">
        <f t="shared" ref="J140:N140" si="29">J133/$O133</f>
        <v>0.3644498119</v>
      </c>
      <c r="K140" s="11">
        <f t="shared" si="29"/>
        <v>0.05925013232</v>
      </c>
      <c r="L140" s="11">
        <f t="shared" si="29"/>
        <v>0.2701187517</v>
      </c>
      <c r="M140" s="11">
        <f t="shared" si="29"/>
        <v>0.1287728238</v>
      </c>
      <c r="N140" s="11">
        <f t="shared" si="29"/>
        <v>0.1774084802</v>
      </c>
      <c r="O140" s="2"/>
      <c r="P140" s="2"/>
      <c r="Q140" s="2"/>
      <c r="R140" s="2" t="str">
        <f>IFERROR(__xludf.DUMMYFUNCTION("SPARKLINE(J133/$O133, {""charttype"",""bar""; ""max"",1; ""color1"",""#4285F4""})"),"")</f>
        <v/>
      </c>
      <c r="S140" s="2" t="str">
        <f>IFERROR(__xludf.DUMMYFUNCTION("SPARKLINE(K133/$O133, {""charttype"",""bar""; ""max"",1; ""color1"",""#4285F4""})"),"")</f>
        <v/>
      </c>
      <c r="T140" s="2" t="str">
        <f>IFERROR(__xludf.DUMMYFUNCTION("SPARKLINE(L133/$O133, {""charttype"",""bar""; ""max"",1; ""color1"",""#4285F4""})"),"")</f>
        <v/>
      </c>
      <c r="U140" s="2" t="str">
        <f>IFERROR(__xludf.DUMMYFUNCTION("SPARKLINE(M133/$O133, {""charttype"",""bar""; ""max"",1; ""color1"",""#4285F4""})"),"")</f>
        <v/>
      </c>
      <c r="V140" s="2" t="str">
        <f>IFERROR(__xludf.DUMMYFUNCTION("SPARKLINE(N133/$O133, {""charttype"",""bar""; ""max"",1; ""color1"",""#4285F4""})"),"")</f>
        <v/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11">
        <f t="shared" ref="J141:N141" si="30">J134/$O134</f>
        <v>0.1404027829</v>
      </c>
      <c r="K141" s="11">
        <f t="shared" si="30"/>
        <v>0.1642437341</v>
      </c>
      <c r="L141" s="11">
        <f t="shared" si="30"/>
        <v>0.1858076388</v>
      </c>
      <c r="M141" s="11">
        <f t="shared" si="30"/>
        <v>0.2690140995</v>
      </c>
      <c r="N141" s="11">
        <f t="shared" si="30"/>
        <v>0.2405317447</v>
      </c>
      <c r="O141" s="2"/>
      <c r="P141" s="2"/>
      <c r="Q141" s="2"/>
      <c r="R141" s="2" t="str">
        <f>IFERROR(__xludf.DUMMYFUNCTION("SPARKLINE(J134/$O134, {""charttype"",""bar""; ""max"",1; ""color1"",""#4285F4""})"),"")</f>
        <v/>
      </c>
      <c r="S141" s="2" t="str">
        <f>IFERROR(__xludf.DUMMYFUNCTION("SPARKLINE(K134/$O134, {""charttype"",""bar""; ""max"",1; ""color1"",""#4285F4""})"),"")</f>
        <v/>
      </c>
      <c r="T141" s="2" t="str">
        <f>IFERROR(__xludf.DUMMYFUNCTION("SPARKLINE(L134/$O134, {""charttype"",""bar""; ""max"",1; ""color1"",""#4285F4""})"),"")</f>
        <v/>
      </c>
      <c r="U141" s="2" t="str">
        <f>IFERROR(__xludf.DUMMYFUNCTION("SPARKLINE(M134/$O134, {""charttype"",""bar""; ""max"",1; ""color1"",""#4285F4""})"),"")</f>
        <v/>
      </c>
      <c r="V141" s="2" t="str">
        <f>IFERROR(__xludf.DUMMYFUNCTION("SPARKLINE(N134/$O134, {""charttype"",""bar""; ""max"",1; ""color1"",""#4285F4""})"),"")</f>
        <v/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11">
        <f t="shared" ref="J142:N142" si="31">J135/$O135</f>
        <v>0.1042115505</v>
      </c>
      <c r="K142" s="11">
        <f t="shared" si="31"/>
        <v>0.2012452182</v>
      </c>
      <c r="L142" s="11">
        <f t="shared" si="31"/>
        <v>0.2100931827</v>
      </c>
      <c r="M142" s="11">
        <f t="shared" si="31"/>
        <v>0.2084023421</v>
      </c>
      <c r="N142" s="11">
        <f t="shared" si="31"/>
        <v>0.2760477066</v>
      </c>
      <c r="O142" s="2"/>
      <c r="P142" s="2"/>
      <c r="Q142" s="2"/>
      <c r="R142" s="2" t="str">
        <f>IFERROR(__xludf.DUMMYFUNCTION("SPARKLINE(J135/$O135, {""charttype"",""bar""; ""max"",1; ""color1"",""#4285F4""})"),"")</f>
        <v/>
      </c>
      <c r="S142" s="2" t="str">
        <f>IFERROR(__xludf.DUMMYFUNCTION("SPARKLINE(K135/$O135, {""charttype"",""bar""; ""max"",1; ""color1"",""#4285F4""})"),"")</f>
        <v/>
      </c>
      <c r="T142" s="2" t="str">
        <f>IFERROR(__xludf.DUMMYFUNCTION("SPARKLINE(L135/$O135, {""charttype"",""bar""; ""max"",1; ""color1"",""#4285F4""})"),"")</f>
        <v/>
      </c>
      <c r="U142" s="2" t="str">
        <f>IFERROR(__xludf.DUMMYFUNCTION("SPARKLINE(M135/$O135, {""charttype"",""bar""; ""max"",1; ""color1"",""#4285F4""})"),"")</f>
        <v/>
      </c>
      <c r="V142" s="2" t="str">
        <f>IFERROR(__xludf.DUMMYFUNCTION("SPARKLINE(N135/$O135, {""charttype"",""bar""; ""max"",1; ""color1"",""#4285F4""})"),"")</f>
        <v/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11">
        <f t="shared" ref="J143:N143" si="32">J136/$O136</f>
        <v>0.1575376554</v>
      </c>
      <c r="K143" s="11">
        <f t="shared" si="32"/>
        <v>0.1850908866</v>
      </c>
      <c r="L143" s="11">
        <f t="shared" si="32"/>
        <v>0.152271415</v>
      </c>
      <c r="M143" s="11">
        <f t="shared" si="32"/>
        <v>0.08495837309</v>
      </c>
      <c r="N143" s="11">
        <f t="shared" si="32"/>
        <v>0.4201416698</v>
      </c>
      <c r="O143" s="2"/>
      <c r="P143" s="2"/>
      <c r="Q143" s="2"/>
      <c r="R143" s="2" t="str">
        <f>IFERROR(__xludf.DUMMYFUNCTION("SPARKLINE(J136/$O136, {""charttype"",""bar""; ""max"",1; ""color1"",""#4285F4""})"),"")</f>
        <v/>
      </c>
      <c r="S143" s="2" t="str">
        <f>IFERROR(__xludf.DUMMYFUNCTION("SPARKLINE(K136/$O136, {""charttype"",""bar""; ""max"",1; ""color1"",""#4285F4""})"),"")</f>
        <v/>
      </c>
      <c r="T143" s="2" t="str">
        <f>IFERROR(__xludf.DUMMYFUNCTION("SPARKLINE(L136/$O136, {""charttype"",""bar""; ""max"",1; ""color1"",""#4285F4""})"),"")</f>
        <v/>
      </c>
      <c r="U143" s="2" t="str">
        <f>IFERROR(__xludf.DUMMYFUNCTION("SPARKLINE(M136/$O136, {""charttype"",""bar""; ""max"",1; ""color1"",""#4285F4""})"),"")</f>
        <v/>
      </c>
      <c r="V143" s="2" t="str">
        <f>IFERROR(__xludf.DUMMYFUNCTION("SPARKLINE(N136/$O136, {""charttype"",""bar""; ""max"",1; ""color1"",""#4285F4""})"),"")</f>
        <v/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