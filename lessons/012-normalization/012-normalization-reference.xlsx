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<sst xmlns="http://schemas.openxmlformats.org/spreadsheetml/2006/main" count="221" uniqueCount="46">
  <si>
    <t>LayerNorm - (Normalizes across rows)</t>
  </si>
  <si>
    <t>Layer Stats</t>
  </si>
  <si>
    <t>Mean</t>
  </si>
  <si>
    <t>Variance</t>
  </si>
  <si>
    <t>Input</t>
  </si>
  <si>
    <t>Hardcoded values</t>
  </si>
  <si>
    <t>Epsilon</t>
  </si>
  <si>
    <t>Centered</t>
  </si>
  <si>
    <t>(by row)</t>
  </si>
  <si>
    <t>Scaling Learned Values</t>
  </si>
  <si>
    <t>Multiplier</t>
  </si>
  <si>
    <t>Addition</t>
  </si>
  <si>
    <t>LayerNorm</t>
  </si>
  <si>
    <t>BatchNorm - (Normalizes across columns)</t>
  </si>
  <si>
    <t>(by column)</t>
  </si>
  <si>
    <t>BatchNorm</t>
  </si>
  <si>
    <t>RMSNorm - (Normalizes across rows)</t>
  </si>
  <si>
    <t>Mean Sum of Squares</t>
  </si>
  <si>
    <t>Divide by Mean^2</t>
  </si>
  <si>
    <t>RMSNorm</t>
  </si>
  <si>
    <t xml:space="preserve">All normalizations - short versions </t>
  </si>
  <si>
    <t>SUMSQ(D83:H83)</t>
  </si>
  <si>
    <t>(D83)/($I83+$H$90)</t>
  </si>
  <si>
    <t xml:space="preserve">MLP: Growing &amp; Shrinking, ReLU, with Residuals </t>
  </si>
  <si>
    <t>⬇</t>
  </si>
  <si>
    <t>Input @ M1</t>
  </si>
  <si>
    <t>M1</t>
  </si>
  <si>
    <t>(Growing)</t>
  </si>
  <si>
    <t>⬅</t>
  </si>
  <si>
    <t>ReLU</t>
  </si>
  <si>
    <t>M2</t>
  </si>
  <si>
    <t>@ M2</t>
  </si>
  <si>
    <t>(Shrinking)</t>
  </si>
  <si>
    <t>Residual</t>
  </si>
  <si>
    <t>MLP: Growing &amp; Shrinking w/ Residuals, condensed form</t>
  </si>
  <si>
    <t>Input +</t>
  </si>
  <si>
    <t>(Input @</t>
  </si>
  <si>
    <t>M1 @ M2)</t>
  </si>
  <si>
    <t>MLP: RMS, Pre-norm</t>
  </si>
  <si>
    <t>RmsNorm</t>
  </si>
  <si>
    <t>RmsNorm +</t>
  </si>
  <si>
    <t>(RmsNorm @</t>
  </si>
  <si>
    <t>MLP: RMS, Post-norm</t>
  </si>
  <si>
    <r>
      <rPr>
        <rFont val="Arial"/>
        <b/>
        <color rgb="FF000000"/>
      </rPr>
      <t>[Exercise]</t>
    </r>
    <r>
      <rPr>
        <rFont val="Arial"/>
        <color rgb="FF000000"/>
      </rPr>
      <t xml:space="preserve"> Note that gradients explode. Numbers are "more red" or "more gren" post residual. </t>
    </r>
  </si>
  <si>
    <t>ARRAYFORMULA(LET(x,C212:E214,rms,SQRT(MMULT(x^2,SEQUENCE(3,1,1/3,0))),x/rms))</t>
  </si>
  <si>
    <t>ARRAYFORMULA(LET(x,C207:E209,rms,SQRT(MMULT(x^2,SEQUENCE(3,1,1/3,0))),x/rms))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</si>
</sst>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color theme="0"/>
      <name val="Arial"/>
      <scheme val="minor"/>
    </font>
    <font>
      <b/>
      <sz val="12.0"/>
      <color theme="1"/>
      <name val="Arial"/>
    </font>
    <font/>
    <font>
      <color rgb="FFB7B7B7"/>
      <name val="Arial"/>
    </font>
    <font>
      <b/>
      <sz val="12.0"/>
      <color theme="1"/>
      <name val="Arial"/>
      <scheme val="minor"/>
    </font>
    <font>
      <color rgb="FFFFFFFF"/>
      <name val="Arial"/>
    </font>
    <font>
      <color rgb="FF000000"/>
      <name val="Arial"/>
      <scheme val="minor"/>
    </font>
    <font>
      <color rgb="FFCCCCCC"/>
      <name val="Arial"/>
      <scheme val="minor"/>
    </font>
  </fonts>
  <fills count="4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0E6D3"/>
        <bgColor rgb="FFC0E6D3"/>
      </patternFill>
    </fill>
    <fill>
      <patternFill patternType="solid">
        <fgColor rgb="FFEFF9F4"/>
        <bgColor rgb="FFEFF9F4"/>
      </patternFill>
    </fill>
    <fill>
      <patternFill patternType="solid">
        <fgColor rgb="FF81CCA7"/>
        <bgColor rgb="FF81CCA7"/>
      </patternFill>
    </fill>
    <fill>
      <patternFill patternType="solid">
        <fgColor rgb="FF69C397"/>
        <bgColor rgb="FF69C397"/>
      </patternFill>
    </fill>
    <fill>
      <patternFill patternType="solid">
        <fgColor rgb="FFD7EFE4"/>
        <bgColor rgb="FFD7EFE4"/>
      </patternFill>
    </fill>
    <fill>
      <patternFill patternType="solid">
        <fgColor rgb="FFCCEBDC"/>
        <bgColor rgb="FFCCEBDC"/>
      </patternFill>
    </fill>
    <fill>
      <patternFill patternType="solid">
        <fgColor rgb="FF75C89F"/>
        <bgColor rgb="FF75C89F"/>
      </patternFill>
    </fill>
    <fill>
      <patternFill patternType="solid">
        <fgColor rgb="FF59BC8B"/>
        <bgColor rgb="FF59BC8B"/>
      </patternFill>
    </fill>
    <fill>
      <patternFill patternType="solid">
        <fgColor rgb="FFA3DABF"/>
        <bgColor rgb="FFA3DABF"/>
      </patternFill>
    </fill>
    <fill>
      <patternFill patternType="solid">
        <fgColor rgb="FFD9F0E5"/>
        <bgColor rgb="FFD9F0E5"/>
      </patternFill>
    </fill>
    <fill>
      <patternFill patternType="solid">
        <fgColor rgb="FF59BC8C"/>
        <bgColor rgb="FF59BC8C"/>
      </patternFill>
    </fill>
    <fill>
      <patternFill patternType="solid">
        <fgColor rgb="FFB4E1CB"/>
        <bgColor rgb="FFB4E1CB"/>
      </patternFill>
    </fill>
    <fill>
      <patternFill patternType="solid">
        <fgColor rgb="FFFBFDFC"/>
        <bgColor rgb="FFFBFDFC"/>
      </patternFill>
    </fill>
    <fill>
      <patternFill patternType="solid">
        <fgColor rgb="FFB2E0C9"/>
        <bgColor rgb="FFB2E0C9"/>
      </patternFill>
    </fill>
    <fill>
      <patternFill patternType="solid">
        <fgColor rgb="FF57BB8A"/>
        <bgColor rgb="FF57BB8A"/>
      </patternFill>
    </fill>
    <fill>
      <patternFill patternType="solid">
        <fgColor rgb="FFFFFFFF"/>
        <bgColor rgb="FFFFFFFF"/>
      </patternFill>
    </fill>
    <fill>
      <patternFill patternType="solid">
        <fgColor rgb="FFF3FAF7"/>
        <bgColor rgb="FFF3FAF7"/>
      </patternFill>
    </fill>
    <fill>
      <patternFill patternType="solid">
        <fgColor rgb="FFDCF1E7"/>
        <bgColor rgb="FFDCF1E7"/>
      </patternFill>
    </fill>
    <fill>
      <patternFill patternType="solid">
        <fgColor rgb="FF6EC59A"/>
        <bgColor rgb="FF6EC59A"/>
      </patternFill>
    </fill>
    <fill>
      <patternFill patternType="solid">
        <fgColor rgb="FF63C092"/>
        <bgColor rgb="FF63C092"/>
      </patternFill>
    </fill>
    <fill>
      <patternFill patternType="solid">
        <fgColor rgb="FFEDF8F3"/>
        <bgColor rgb="FFEDF8F3"/>
      </patternFill>
    </fill>
    <fill>
      <patternFill patternType="solid">
        <fgColor rgb="FFDAF0E5"/>
        <bgColor rgb="FFDAF0E5"/>
      </patternFill>
    </fill>
    <fill>
      <patternFill patternType="solid">
        <fgColor rgb="FFE4F5ED"/>
        <bgColor rgb="FFE4F5ED"/>
      </patternFill>
    </fill>
    <fill>
      <patternFill patternType="solid">
        <fgColor rgb="FFBAE4CF"/>
        <bgColor rgb="FFBAE4CF"/>
      </patternFill>
    </fill>
    <fill>
      <patternFill patternType="solid">
        <fgColor rgb="FFD0ECDE"/>
        <bgColor rgb="FFD0ECDE"/>
      </patternFill>
    </fill>
    <fill>
      <patternFill patternType="solid">
        <fgColor rgb="FFADDEC6"/>
        <bgColor rgb="FFADDEC6"/>
      </patternFill>
    </fill>
    <fill>
      <patternFill patternType="solid">
        <fgColor rgb="FFF7FCFA"/>
        <bgColor rgb="FFF7FCFA"/>
      </patternFill>
    </fill>
    <fill>
      <patternFill patternType="solid">
        <fgColor rgb="FFB2E0CA"/>
        <bgColor rgb="FFB2E0CA"/>
      </patternFill>
    </fill>
    <fill>
      <patternFill patternType="solid">
        <fgColor rgb="FFCEECDD"/>
        <bgColor rgb="FFCEECDD"/>
      </patternFill>
    </fill>
    <fill>
      <patternFill patternType="solid">
        <fgColor rgb="FFF7FCF9"/>
        <bgColor rgb="FFF7FCF9"/>
      </patternFill>
    </fill>
    <fill>
      <patternFill patternType="solid">
        <fgColor rgb="FFDDF2E7"/>
        <bgColor rgb="FFDDF2E7"/>
      </patternFill>
    </fill>
    <fill>
      <patternFill patternType="solid">
        <fgColor rgb="FFA9DCC3"/>
        <bgColor rgb="FFA9DCC3"/>
      </patternFill>
    </fill>
    <fill>
      <patternFill patternType="solid">
        <fgColor rgb="FF99D6B8"/>
        <bgColor rgb="FF99D6B8"/>
      </patternFill>
    </fill>
    <fill>
      <patternFill patternType="solid">
        <fgColor rgb="FFA7DCC2"/>
        <bgColor rgb="FFA7DCC2"/>
      </patternFill>
    </fill>
    <fill>
      <patternFill patternType="solid">
        <fgColor rgb="FF5BBD8D"/>
        <bgColor rgb="FF5BBD8D"/>
      </patternFill>
    </fill>
    <fill>
      <patternFill patternType="solid">
        <fgColor rgb="FFFAFDFC"/>
        <bgColor rgb="FFFAFDFC"/>
      </patternFill>
    </fill>
    <fill>
      <patternFill patternType="solid">
        <fgColor rgb="FFB6E2CC"/>
        <bgColor rgb="FFB6E2CC"/>
      </patternFill>
    </fill>
    <fill>
      <patternFill patternType="solid">
        <fgColor rgb="FFAFDFC8"/>
        <bgColor rgb="FFAFDFC8"/>
      </patternFill>
    </fill>
    <fill>
      <patternFill patternType="solid">
        <fgColor rgb="FF93D4B4"/>
        <bgColor rgb="FF93D4B4"/>
      </patternFill>
    </fill>
    <fill>
      <patternFill patternType="solid">
        <fgColor rgb="FFFBFEFC"/>
        <bgColor rgb="FFFBFEFC"/>
      </patternFill>
    </fill>
    <fill>
      <patternFill patternType="solid">
        <fgColor rgb="FFCFECDE"/>
        <bgColor rgb="FFCFECDE"/>
      </patternFill>
    </fill>
    <fill>
      <patternFill patternType="solid">
        <fgColor rgb="FFB1E0C9"/>
        <bgColor rgb="FFB1E0C9"/>
      </patternFill>
    </fill>
    <fill>
      <patternFill patternType="solid">
        <fgColor rgb="FFCAEADA"/>
        <bgColor rgb="FFCAEADA"/>
      </patternFill>
    </fill>
    <fill>
      <patternFill patternType="solid">
        <fgColor rgb="FFA0D9BD"/>
        <bgColor rgb="FFA0D9BD"/>
      </patternFill>
    </fill>
    <fill>
      <patternFill patternType="solid">
        <fgColor rgb="FFEBF7F1"/>
        <bgColor rgb="FFEBF7F1"/>
      </patternFill>
    </fill>
    <fill>
      <patternFill patternType="solid">
        <fgColor rgb="FF67C296"/>
        <bgColor rgb="FF67C296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Border="1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0" fillId="0" fontId="8" numFmtId="0" xfId="0" applyAlignment="1" applyFont="1">
      <alignment horizontal="right" readingOrder="0" vertical="bottom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11" xfId="0" applyAlignment="1" applyFont="1" applyNumberFormat="1">
      <alignment horizontal="left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10" numFmtId="164" xfId="0" applyAlignment="1" applyFont="1" applyNumberFormat="1">
      <alignment horizontal="center" vertical="bottom"/>
    </xf>
    <xf borderId="0" fillId="0" fontId="10" numFmtId="2" xfId="0" applyAlignment="1" applyFont="1" applyNumberFormat="1">
      <alignment horizontal="center" vertical="bottom"/>
    </xf>
    <xf borderId="3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bottom"/>
    </xf>
    <xf borderId="5" fillId="0" fontId="3" numFmtId="2" xfId="0" applyAlignment="1" applyBorder="1" applyFont="1" applyNumberFormat="1">
      <alignment horizontal="center" vertical="bottom"/>
    </xf>
    <xf borderId="6" fillId="0" fontId="3" numFmtId="2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7" fillId="0" fontId="3" numFmtId="2" xfId="0" applyAlignment="1" applyBorder="1" applyFont="1" applyNumberFormat="1">
      <alignment horizontal="center" vertical="bottom"/>
    </xf>
    <xf borderId="2" fillId="0" fontId="3" numFmtId="2" xfId="0" applyAlignment="1" applyBorder="1" applyFont="1" applyNumberFormat="1">
      <alignment horizontal="center" vertical="bottom"/>
    </xf>
    <xf borderId="1" fillId="0" fontId="3" numFmtId="2" xfId="0" applyAlignment="1" applyBorder="1" applyFont="1" applyNumberFormat="1">
      <alignment horizontal="center" vertical="bottom"/>
    </xf>
    <xf borderId="8" fillId="0" fontId="3" numFmtId="2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9" fillId="0" fontId="2" numFmtId="0" xfId="0" applyAlignment="1" applyBorder="1" applyFont="1">
      <alignment horizontal="center" readingOrder="0"/>
    </xf>
    <xf borderId="3" fillId="0" fontId="2" numFmtId="2" xfId="0" applyAlignment="1" applyBorder="1" applyFont="1" applyNumberFormat="1">
      <alignment horizontal="center"/>
    </xf>
    <xf borderId="4" fillId="0" fontId="2" numFmtId="2" xfId="0" applyAlignment="1" applyBorder="1" applyFont="1" applyNumberFormat="1">
      <alignment horizontal="center"/>
    </xf>
    <xf borderId="5" fillId="0" fontId="2" numFmtId="2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7" fillId="0" fontId="2" numFmtId="2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/>
    </xf>
    <xf borderId="3" fillId="3" fontId="3" numFmtId="164" xfId="0" applyAlignment="1" applyBorder="1" applyFill="1" applyFont="1" applyNumberFormat="1">
      <alignment horizontal="center" vertical="bottom"/>
    </xf>
    <xf borderId="4" fillId="4" fontId="3" numFmtId="164" xfId="0" applyAlignment="1" applyBorder="1" applyFill="1" applyFont="1" applyNumberFormat="1">
      <alignment horizontal="center" vertical="bottom"/>
    </xf>
    <xf borderId="4" fillId="5" fontId="3" numFmtId="164" xfId="0" applyAlignment="1" applyBorder="1" applyFill="1" applyFont="1" applyNumberFormat="1">
      <alignment horizontal="center" vertical="bottom"/>
    </xf>
    <xf borderId="4" fillId="6" fontId="3" numFmtId="164" xfId="0" applyAlignment="1" applyBorder="1" applyFill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6" fillId="8" fontId="3" numFmtId="164" xfId="0" applyAlignment="1" applyBorder="1" applyFill="1" applyFont="1" applyNumberFormat="1">
      <alignment horizontal="center" vertical="bottom"/>
    </xf>
    <xf borderId="0" fillId="9" fontId="3" numFmtId="164" xfId="0" applyAlignment="1" applyFill="1" applyFont="1" applyNumberFormat="1">
      <alignment horizontal="center" vertical="bottom"/>
    </xf>
    <xf borderId="0" fillId="10" fontId="3" numFmtId="164" xfId="0" applyAlignment="1" applyFill="1" applyFont="1" applyNumberFormat="1">
      <alignment horizontal="center" vertical="bottom"/>
    </xf>
    <xf borderId="0" fillId="11" fontId="3" numFmtId="164" xfId="0" applyAlignment="1" applyFill="1" applyFont="1" applyNumberFormat="1">
      <alignment horizontal="center" vertical="bottom"/>
    </xf>
    <xf borderId="7" fillId="12" fontId="3" numFmtId="164" xfId="0" applyAlignment="1" applyBorder="1" applyFill="1" applyFont="1" applyNumberFormat="1">
      <alignment horizontal="center" vertical="bottom"/>
    </xf>
    <xf borderId="6" fillId="13" fontId="3" numFmtId="164" xfId="0" applyAlignment="1" applyBorder="1" applyFill="1" applyFont="1" applyNumberFormat="1">
      <alignment horizontal="center" vertical="bottom"/>
    </xf>
    <xf borderId="0" fillId="14" fontId="3" numFmtId="164" xfId="0" applyAlignment="1" applyFill="1" applyFont="1" applyNumberFormat="1">
      <alignment horizontal="center" vertical="bottom"/>
    </xf>
    <xf borderId="0" fillId="15" fontId="3" numFmtId="164" xfId="0" applyAlignment="1" applyFill="1" applyFont="1" applyNumberFormat="1">
      <alignment horizontal="center" vertical="bottom"/>
    </xf>
    <xf borderId="0" fillId="16" fontId="3" numFmtId="164" xfId="0" applyAlignment="1" applyFill="1" applyFont="1" applyNumberFormat="1">
      <alignment horizontal="center" vertical="bottom"/>
    </xf>
    <xf borderId="7" fillId="17" fontId="3" numFmtId="164" xfId="0" applyAlignment="1" applyBorder="1" applyFill="1" applyFont="1" applyNumberFormat="1">
      <alignment horizontal="center" vertical="bottom"/>
    </xf>
    <xf borderId="6" fillId="18" fontId="3" numFmtId="164" xfId="0" applyAlignment="1" applyBorder="1" applyFill="1" applyFont="1" applyNumberFormat="1">
      <alignment horizontal="center" vertical="bottom"/>
    </xf>
    <xf borderId="0" fillId="19" fontId="3" numFmtId="164" xfId="0" applyAlignment="1" applyFill="1" applyFont="1" applyNumberFormat="1">
      <alignment horizontal="center" vertical="bottom"/>
    </xf>
    <xf borderId="0" fillId="20" fontId="3" numFmtId="164" xfId="0" applyAlignment="1" applyFill="1" applyFont="1" applyNumberFormat="1">
      <alignment horizontal="center" vertical="bottom"/>
    </xf>
    <xf borderId="0" fillId="21" fontId="3" numFmtId="164" xfId="0" applyAlignment="1" applyFill="1" applyFont="1" applyNumberFormat="1">
      <alignment horizontal="center" vertical="bottom"/>
    </xf>
    <xf borderId="7" fillId="22" fontId="3" numFmtId="164" xfId="0" applyAlignment="1" applyBorder="1" applyFill="1" applyFont="1" applyNumberFormat="1">
      <alignment horizontal="center" vertical="bottom"/>
    </xf>
    <xf borderId="2" fillId="23" fontId="3" numFmtId="164" xfId="0" applyAlignment="1" applyBorder="1" applyFill="1" applyFont="1" applyNumberFormat="1">
      <alignment horizontal="center" vertical="bottom"/>
    </xf>
    <xf borderId="1" fillId="24" fontId="3" numFmtId="164" xfId="0" applyAlignment="1" applyBorder="1" applyFill="1" applyFont="1" applyNumberFormat="1">
      <alignment horizontal="center" vertical="bottom"/>
    </xf>
    <xf borderId="1" fillId="25" fontId="3" numFmtId="164" xfId="0" applyAlignment="1" applyBorder="1" applyFill="1" applyFont="1" applyNumberFormat="1">
      <alignment horizontal="center" vertical="bottom"/>
    </xf>
    <xf borderId="1" fillId="26" fontId="3" numFmtId="164" xfId="0" applyAlignment="1" applyBorder="1" applyFill="1" applyFont="1" applyNumberFormat="1">
      <alignment horizontal="center" vertical="bottom"/>
    </xf>
    <xf borderId="8" fillId="27" fontId="3" numFmtId="164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right" vertical="bottom"/>
    </xf>
    <xf borderId="6" fillId="0" fontId="6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bottom"/>
    </xf>
    <xf borderId="6" fillId="0" fontId="7" numFmtId="0" xfId="0" applyBorder="1" applyFont="1"/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0" fillId="0" fontId="3" numFmtId="11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3" fillId="18" fontId="3" numFmtId="2" xfId="0" applyAlignment="1" applyBorder="1" applyFill="1" applyFont="1" applyNumberFormat="1">
      <alignment horizontal="center" vertical="bottom"/>
    </xf>
    <xf borderId="4" fillId="18" fontId="3" numFmtId="2" xfId="0" applyAlignment="1" applyBorder="1" applyFill="1" applyFont="1" applyNumberFormat="1">
      <alignment horizontal="center" vertical="bottom"/>
    </xf>
    <xf borderId="5" fillId="18" fontId="3" numFmtId="2" xfId="0" applyAlignment="1" applyBorder="1" applyFill="1" applyFont="1" applyNumberFormat="1">
      <alignment horizontal="center" vertical="bottom"/>
    </xf>
    <xf borderId="6" fillId="18" fontId="3" numFmtId="2" xfId="0" applyAlignment="1" applyBorder="1" applyFill="1" applyFont="1" applyNumberFormat="1">
      <alignment horizontal="center" vertical="bottom"/>
    </xf>
    <xf borderId="0" fillId="18" fontId="3" numFmtId="2" xfId="0" applyAlignment="1" applyFill="1" applyFont="1" applyNumberFormat="1">
      <alignment horizontal="center" vertical="bottom"/>
    </xf>
    <xf borderId="7" fillId="18" fontId="3" numFmtId="2" xfId="0" applyAlignment="1" applyBorder="1" applyFill="1" applyFont="1" applyNumberFormat="1">
      <alignment horizontal="center" vertical="bottom"/>
    </xf>
    <xf borderId="2" fillId="18" fontId="3" numFmtId="2" xfId="0" applyAlignment="1" applyBorder="1" applyFill="1" applyFont="1" applyNumberFormat="1">
      <alignment horizontal="center" vertical="bottom"/>
    </xf>
    <xf borderId="1" fillId="18" fontId="3" numFmtId="2" xfId="0" applyAlignment="1" applyBorder="1" applyFill="1" applyFont="1" applyNumberFormat="1">
      <alignment horizontal="center" vertical="bottom"/>
    </xf>
    <xf borderId="8" fillId="18" fontId="3" numFmtId="2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6" fillId="0" fontId="2" numFmtId="0" xfId="0" applyAlignment="1" applyBorder="1" applyFont="1">
      <alignment horizontal="left" readingOrder="0"/>
    </xf>
    <xf borderId="0" fillId="0" fontId="8" numFmtId="164" xfId="0" applyAlignment="1" applyFont="1" applyNumberFormat="1">
      <alignment horizontal="right" readingOrder="0" vertical="bottom"/>
    </xf>
    <xf borderId="3" fillId="0" fontId="3" numFmtId="164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5" fillId="0" fontId="3" numFmtId="164" xfId="0" applyAlignment="1" applyBorder="1" applyFont="1" applyNumberFormat="1">
      <alignment horizontal="center" vertical="bottom"/>
    </xf>
    <xf borderId="6" fillId="0" fontId="3" numFmtId="164" xfId="0" applyAlignment="1" applyBorder="1" applyFont="1" applyNumberFormat="1">
      <alignment horizontal="center" vertical="bottom"/>
    </xf>
    <xf borderId="7" fillId="0" fontId="3" numFmtId="164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8" fillId="0" fontId="3" numFmtId="164" xfId="0" applyAlignment="1" applyBorder="1" applyFont="1" applyNumberFormat="1">
      <alignment horizontal="center" vertical="bottom"/>
    </xf>
    <xf borderId="0" fillId="0" fontId="2" numFmtId="164" xfId="0" applyFont="1" applyNumberFormat="1"/>
    <xf borderId="0" fillId="0" fontId="1" numFmtId="164" xfId="0" applyAlignment="1" applyFont="1" applyNumberFormat="1">
      <alignment horizontal="right"/>
    </xf>
    <xf borderId="0" fillId="0" fontId="6" numFmtId="164" xfId="0" applyAlignment="1" applyFont="1" applyNumberFormat="1">
      <alignment horizontal="center" shrinkToFit="0" vertical="bottom" wrapText="1"/>
    </xf>
    <xf borderId="0" fillId="0" fontId="1" numFmtId="164" xfId="0" applyAlignment="1" applyFont="1" applyNumberFormat="1">
      <alignment horizontal="right" readingOrder="0"/>
    </xf>
    <xf borderId="9" fillId="0" fontId="2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3" fillId="28" fontId="3" numFmtId="164" xfId="0" applyAlignment="1" applyBorder="1" applyFill="1" applyFont="1" applyNumberFormat="1">
      <alignment horizontal="center" vertical="bottom"/>
    </xf>
    <xf borderId="4" fillId="29" fontId="3" numFmtId="164" xfId="0" applyAlignment="1" applyBorder="1" applyFill="1" applyFont="1" applyNumberFormat="1">
      <alignment horizontal="center" vertical="bottom"/>
    </xf>
    <xf borderId="4" fillId="30" fontId="3" numFmtId="164" xfId="0" applyAlignment="1" applyBorder="1" applyFill="1" applyFont="1" applyNumberFormat="1">
      <alignment horizontal="center" vertical="bottom"/>
    </xf>
    <xf borderId="4" fillId="31" fontId="3" numFmtId="164" xfId="0" applyAlignment="1" applyBorder="1" applyFill="1" applyFont="1" applyNumberFormat="1">
      <alignment horizontal="center" vertical="bottom"/>
    </xf>
    <xf borderId="5" fillId="32" fontId="3" numFmtId="164" xfId="0" applyAlignment="1" applyBorder="1" applyFill="1" applyFont="1" applyNumberForma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left" readingOrder="0"/>
    </xf>
    <xf borderId="6" fillId="33" fontId="3" numFmtId="164" xfId="0" applyAlignment="1" applyBorder="1" applyFill="1" applyFont="1" applyNumberFormat="1">
      <alignment horizontal="center" vertical="bottom"/>
    </xf>
    <xf borderId="0" fillId="34" fontId="3" numFmtId="164" xfId="0" applyAlignment="1" applyFill="1" applyFont="1" applyNumberFormat="1">
      <alignment horizontal="center" vertical="bottom"/>
    </xf>
    <xf borderId="0" fillId="35" fontId="3" numFmtId="164" xfId="0" applyAlignment="1" applyFill="1" applyFont="1" applyNumberFormat="1">
      <alignment horizontal="center" vertical="bottom"/>
    </xf>
    <xf borderId="0" fillId="36" fontId="3" numFmtId="164" xfId="0" applyAlignment="1" applyFill="1" applyFont="1" applyNumberFormat="1">
      <alignment horizontal="center" vertical="bottom"/>
    </xf>
    <xf borderId="7" fillId="37" fontId="3" numFmtId="164" xfId="0" applyAlignment="1" applyBorder="1" applyFill="1" applyFont="1" applyNumberFormat="1">
      <alignment horizontal="center" vertical="bottom"/>
    </xf>
    <xf borderId="3" fillId="0" fontId="11" numFmtId="164" xfId="0" applyAlignment="1" applyBorder="1" applyFont="1" applyNumberFormat="1">
      <alignment horizontal="right"/>
    </xf>
    <xf borderId="4" fillId="0" fontId="11" numFmtId="164" xfId="0" applyAlignment="1" applyBorder="1" applyFont="1" applyNumberFormat="1">
      <alignment horizontal="center"/>
    </xf>
    <xf borderId="5" fillId="0" fontId="11" numFmtId="164" xfId="0" applyAlignment="1" applyBorder="1" applyFont="1" applyNumberFormat="1">
      <alignment horizontal="center"/>
    </xf>
    <xf borderId="6" fillId="38" fontId="3" numFmtId="164" xfId="0" applyAlignment="1" applyBorder="1" applyFill="1" applyFont="1" applyNumberFormat="1">
      <alignment horizontal="center" vertical="bottom"/>
    </xf>
    <xf borderId="0" fillId="39" fontId="3" numFmtId="164" xfId="0" applyAlignment="1" applyFill="1" applyFont="1" applyNumberFormat="1">
      <alignment horizontal="center" vertical="bottom"/>
    </xf>
    <xf borderId="0" fillId="28" fontId="3" numFmtId="164" xfId="0" applyAlignment="1" applyFill="1" applyFont="1" applyNumberFormat="1">
      <alignment horizontal="center" vertical="bottom"/>
    </xf>
    <xf borderId="0" fillId="40" fontId="3" numFmtId="164" xfId="0" applyAlignment="1" applyFill="1" applyFont="1" applyNumberFormat="1">
      <alignment horizontal="center" vertical="bottom"/>
    </xf>
    <xf borderId="7" fillId="35" fontId="3" numFmtId="164" xfId="0" applyAlignment="1" applyBorder="1" applyFill="1" applyFont="1" applyNumberFormat="1">
      <alignment horizontal="center" vertical="bottom"/>
    </xf>
    <xf borderId="6" fillId="41" fontId="3" numFmtId="164" xfId="0" applyAlignment="1" applyBorder="1" applyFill="1" applyFont="1" applyNumberFormat="1">
      <alignment horizontal="center" vertical="bottom"/>
    </xf>
    <xf borderId="0" fillId="42" fontId="3" numFmtId="164" xfId="0" applyAlignment="1" applyFill="1" applyFont="1" applyNumberFormat="1">
      <alignment horizontal="center" vertical="bottom"/>
    </xf>
    <xf borderId="0" fillId="43" fontId="3" numFmtId="164" xfId="0" applyAlignment="1" applyFill="1" applyFont="1" applyNumberFormat="1">
      <alignment horizontal="center" vertical="bottom"/>
    </xf>
    <xf borderId="3" fillId="0" fontId="2" numFmtId="164" xfId="0" applyBorder="1" applyFont="1" applyNumberFormat="1"/>
    <xf borderId="0" fillId="13" fontId="3" numFmtId="164" xfId="0" applyAlignment="1" applyFill="1" applyFont="1" applyNumberFormat="1">
      <alignment horizontal="center" vertical="bottom"/>
    </xf>
    <xf borderId="7" fillId="44" fontId="3" numFmtId="164" xfId="0" applyAlignment="1" applyBorder="1" applyFill="1" applyFont="1" applyNumberFormat="1">
      <alignment horizontal="center" vertical="bottom"/>
    </xf>
    <xf borderId="4" fillId="0" fontId="2" numFmtId="164" xfId="0" applyBorder="1" applyFont="1" applyNumberFormat="1"/>
    <xf borderId="5" fillId="0" fontId="2" numFmtId="164" xfId="0" applyBorder="1" applyFont="1" applyNumberFormat="1"/>
    <xf borderId="6" fillId="0" fontId="11" numFmtId="164" xfId="0" applyAlignment="1" applyBorder="1" applyFont="1" applyNumberFormat="1">
      <alignment horizontal="right"/>
    </xf>
    <xf borderId="0" fillId="0" fontId="11" numFmtId="164" xfId="0" applyAlignment="1" applyFont="1" applyNumberFormat="1">
      <alignment horizontal="center"/>
    </xf>
    <xf borderId="7" fillId="0" fontId="11" numFmtId="164" xfId="0" applyAlignment="1" applyBorder="1" applyFont="1" applyNumberFormat="1">
      <alignment horizontal="center"/>
    </xf>
    <xf borderId="2" fillId="45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46" fontId="3" numFmtId="164" xfId="0" applyAlignment="1" applyBorder="1" applyFill="1" applyFont="1" applyNumberFormat="1">
      <alignment horizontal="center" vertical="bottom"/>
    </xf>
    <xf borderId="1" fillId="47" fontId="3" numFmtId="164" xfId="0" applyAlignment="1" applyBorder="1" applyFill="1" applyFont="1" applyNumberFormat="1">
      <alignment horizontal="center" vertical="bottom"/>
    </xf>
    <xf borderId="6" fillId="0" fontId="2" numFmtId="164" xfId="0" applyBorder="1" applyFont="1" applyNumberFormat="1"/>
    <xf borderId="8" fillId="48" fontId="3" numFmtId="164" xfId="0" applyAlignment="1" applyBorder="1" applyFill="1" applyFont="1" applyNumberFormat="1">
      <alignment horizontal="center" vertical="bottom"/>
    </xf>
    <xf borderId="7" fillId="0" fontId="2" numFmtId="164" xfId="0" applyBorder="1" applyFont="1" applyNumberFormat="1"/>
    <xf borderId="2" fillId="0" fontId="11" numFmtId="164" xfId="0" applyAlignment="1" applyBorder="1" applyFont="1" applyNumberFormat="1">
      <alignment horizontal="right"/>
    </xf>
    <xf borderId="1" fillId="0" fontId="11" numFmtId="164" xfId="0" applyAlignment="1" applyBorder="1" applyFont="1" applyNumberFormat="1">
      <alignment horizontal="center"/>
    </xf>
    <xf borderId="8" fillId="0" fontId="11" numFmtId="164" xfId="0" applyAlignment="1" applyBorder="1" applyFont="1" applyNumberFormat="1">
      <alignment horizontal="center"/>
    </xf>
    <xf borderId="2" fillId="0" fontId="2" numFmtId="164" xfId="0" applyBorder="1" applyFont="1" applyNumberFormat="1"/>
    <xf borderId="1" fillId="0" fontId="2" numFmtId="164" xfId="0" applyBorder="1" applyFont="1" applyNumberFormat="1"/>
    <xf borderId="3" fillId="0" fontId="3" numFmtId="2" xfId="0" applyAlignment="1" applyBorder="1" applyFont="1" applyNumberFormat="1">
      <alignment horizontal="left" readingOrder="0" vertical="bottom"/>
    </xf>
    <xf borderId="8" fillId="0" fontId="2" numFmtId="164" xfId="0" applyBorder="1" applyFont="1" applyNumberFormat="1"/>
    <xf borderId="0" fillId="2" fontId="2" numFmtId="0" xfId="0" applyAlignment="1" applyFill="1" applyFont="1">
      <alignment readingOrder="0"/>
    </xf>
    <xf borderId="0" fillId="0" fontId="11" numFmtId="0" xfId="0" applyAlignment="1" applyFont="1">
      <alignment horizontal="center" readingOrder="0"/>
    </xf>
    <xf borderId="3" fillId="0" fontId="11" numFmtId="164" xfId="0" applyAlignment="1" applyBorder="1" applyFont="1" applyNumberFormat="1">
      <alignment horizontal="center"/>
    </xf>
    <xf borderId="6" fillId="0" fontId="11" numFmtId="164" xfId="0" applyAlignment="1" applyBorder="1" applyFont="1" applyNumberFormat="1">
      <alignment horizontal="center"/>
    </xf>
    <xf borderId="2" fillId="0" fontId="11" numFmtId="164" xfId="0" applyAlignment="1" applyBorder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12" numFmtId="0" xfId="0" applyAlignment="1" applyFont="1">
      <alignment horizontal="right" readingOrder="0"/>
    </xf>
    <xf borderId="0" fillId="0" fontId="11" numFmtId="0" xfId="0" applyAlignment="1" applyFont="1">
      <alignment horizontal="left" readingOrder="0"/>
    </xf>
    <xf borderId="0" fillId="0" fontId="3" numFmtId="0" xfId="0" applyAlignment="1" applyFont="1">
      <alignment horizontal="center" vertical="bottom"/>
    </xf>
    <xf borderId="3" fillId="0" fontId="2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'wo Answers'!$C$9:$C$10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'wo Answers'!$C$11:$C$15</c:f>
              <c:numCache/>
            </c:numRef>
          </c:yVal>
        </c:ser>
        <c:ser>
          <c:idx val="1"/>
          <c:order val="1"/>
          <c:tx>
            <c:strRef>
              <c:f>'wo Answers'!$D$9:$D$10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'wo Answers'!$D$11:$D$15</c:f>
              <c:numCache/>
            </c:numRef>
          </c:yVal>
        </c:ser>
        <c:ser>
          <c:idx val="2"/>
          <c:order val="2"/>
          <c:tx>
            <c:strRef>
              <c:f>'wo Answers'!$E$9:$E$10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'wo Answers'!$E$11:$E$15</c:f>
              <c:numCache/>
            </c:numRef>
          </c:yVal>
        </c:ser>
        <c:ser>
          <c:idx val="3"/>
          <c:order val="3"/>
          <c:tx>
            <c:strRef>
              <c:f>'wo Answers'!$F$9:$F$10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'wo Answers'!$F$11:$F$15</c:f>
              <c:numCache/>
            </c:numRef>
          </c:yVal>
        </c:ser>
        <c:ser>
          <c:idx val="4"/>
          <c:order val="4"/>
          <c:tx>
            <c:strRef>
              <c:f>'wo Answers'!$G$9:$G$10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'wo Answers'!$G$11:$G$15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735971"/>
        <c:axId val="1924999515"/>
      </c:scatterChart>
      <c:valAx>
        <c:axId val="2997359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999515"/>
      </c:valAx>
      <c:valAx>
        <c:axId val="192499951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73597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85526187"/>
        <c:axId val="129941910"/>
      </c:scatterChart>
      <c:valAx>
        <c:axId val="5855261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41910"/>
      </c:valAx>
      <c:valAx>
        <c:axId val="12994191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8552618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'wo Answers'!$C$46:$C$50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'wo Answers'!$D$46:$D$50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'wo Answers'!$E$46:$E$50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'wo Answers'!$F$46:$F$50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'wo Answers'!$G$46:$G$50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138589"/>
        <c:axId val="1730481267"/>
      </c:scatterChart>
      <c:valAx>
        <c:axId val="4511385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481267"/>
      </c:valAx>
      <c:valAx>
        <c:axId val="173048126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138589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'wo Answers'!$C$67:$C$71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'wo Answers'!$D$67:$D$71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'wo Answers'!$E$67:$E$71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'wo Answers'!$F$67:$F$71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'wo Answers'!$G$67:$G$71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350457"/>
        <c:axId val="880829534"/>
      </c:scatterChart>
      <c:valAx>
        <c:axId val="8443504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829534"/>
      </c:valAx>
      <c:valAx>
        <c:axId val="880829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350457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'w Answers'!$C$9:$C$10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 Answers'!$C$11:$C$15</c:f>
              <c:numCache/>
            </c:numRef>
          </c:yVal>
        </c:ser>
        <c:ser>
          <c:idx val="1"/>
          <c:order val="1"/>
          <c:tx>
            <c:strRef>
              <c:f>'w Answers'!$D$9:$D$10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 Answers'!$D$11:$D$15</c:f>
              <c:numCache/>
            </c:numRef>
          </c:yVal>
        </c:ser>
        <c:ser>
          <c:idx val="2"/>
          <c:order val="2"/>
          <c:tx>
            <c:strRef>
              <c:f>'w Answers'!$E$9:$E$10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 Answers'!$E$11:$E$15</c:f>
              <c:numCache/>
            </c:numRef>
          </c:yVal>
        </c:ser>
        <c:ser>
          <c:idx val="3"/>
          <c:order val="3"/>
          <c:tx>
            <c:strRef>
              <c:f>'w Answers'!$F$9:$F$10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 Answers'!$F$11:$F$15</c:f>
              <c:numCache/>
            </c:numRef>
          </c:yVal>
        </c:ser>
        <c:ser>
          <c:idx val="4"/>
          <c:order val="4"/>
          <c:tx>
            <c:strRef>
              <c:f>'w Answers'!$G$9:$G$10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 Answers'!$G$11:$G$15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52099"/>
        <c:axId val="1125484416"/>
      </c:scatterChart>
      <c:valAx>
        <c:axId val="1019520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484416"/>
      </c:valAx>
      <c:valAx>
        <c:axId val="112548441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5209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 Answers'!$C$30:$C$34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 Answers'!$D$30:$D$34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 Answers'!$E$30:$E$34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 Answers'!$F$30:$F$34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 Answers'!$G$30:$G$34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048542"/>
        <c:axId val="1487023217"/>
      </c:scatterChart>
      <c:valAx>
        <c:axId val="15230485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023217"/>
      </c:valAx>
      <c:valAx>
        <c:axId val="1487023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048542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 Answers'!$C$46:$C$50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 Answers'!$D$46:$D$50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 Answers'!$E$46:$E$50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 Answers'!$F$46:$F$50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 Answers'!$G$46:$G$50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363386"/>
        <c:axId val="561222817"/>
      </c:scatterChart>
      <c:valAx>
        <c:axId val="18463633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222817"/>
      </c:valAx>
      <c:valAx>
        <c:axId val="56122281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363386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'w Answers'!$C$67:$C$71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'w Answers'!$D$67:$D$71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'w Answers'!$E$67:$E$71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'w Answers'!$F$67:$F$71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'w Answers'!$G$67:$G$71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190355"/>
        <c:axId val="615984130"/>
      </c:scatterChart>
      <c:valAx>
        <c:axId val="13221903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984130"/>
      </c:valAx>
      <c:valAx>
        <c:axId val="615984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219035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9</xdr:row>
      <xdr:rowOff>57150</xdr:rowOff>
    </xdr:from>
    <xdr:ext cx="1981200" cy="1238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85725</xdr:colOff>
      <xdr:row>27</xdr:row>
      <xdr:rowOff>123825</xdr:rowOff>
    </xdr:from>
    <xdr:ext cx="2105025" cy="1304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19050</xdr:colOff>
      <xdr:row>44</xdr:row>
      <xdr:rowOff>85725</xdr:rowOff>
    </xdr:from>
    <xdr:ext cx="2105025" cy="13049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19050</xdr:colOff>
      <xdr:row>64</xdr:row>
      <xdr:rowOff>85725</xdr:rowOff>
    </xdr:from>
    <xdr:ext cx="2105025" cy="1304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333375</xdr:colOff>
      <xdr:row>127</xdr:row>
      <xdr:rowOff>123825</xdr:rowOff>
    </xdr:from>
    <xdr:ext cx="6438900" cy="7953375"/>
    <xdr:grpSp>
      <xdr:nvGrpSpPr>
        <xdr:cNvPr id="2" name="Shape 2" title="Drawing"/>
        <xdr:cNvGrpSpPr/>
      </xdr:nvGrpSpPr>
      <xdr:grpSpPr>
        <a:xfrm>
          <a:off x="953900" y="412235"/>
          <a:ext cx="6421225" cy="6426200"/>
          <a:chOff x="953900" y="412235"/>
          <a:chExt cx="6421225" cy="6426200"/>
        </a:xfrm>
      </xdr:grpSpPr>
      <xdr:sp>
        <xdr:nvSpPr>
          <xdr:cNvPr id="3" name="Shape 3"/>
          <xdr:cNvSpPr/>
        </xdr:nvSpPr>
        <xdr:spPr>
          <a:xfrm>
            <a:off x="953900" y="412235"/>
            <a:ext cx="5975200" cy="6426200"/>
          </a:xfrm>
          <a:custGeom>
            <a:rect b="b" l="l" r="r" t="t"/>
            <a:pathLst>
              <a:path extrusionOk="0" h="257048" w="239008">
                <a:moveTo>
                  <a:pt x="0" y="782"/>
                </a:moveTo>
                <a:cubicBezTo>
                  <a:pt x="15666" y="-1458"/>
                  <a:pt x="31679" y="1719"/>
                  <a:pt x="47393" y="3593"/>
                </a:cubicBezTo>
                <a:cubicBezTo>
                  <a:pt x="73248" y="6676"/>
                  <a:pt x="99060" y="10113"/>
                  <a:pt x="124910" y="13232"/>
                </a:cubicBezTo>
                <a:cubicBezTo>
                  <a:pt x="143030" y="15419"/>
                  <a:pt x="161078" y="18176"/>
                  <a:pt x="179131" y="20864"/>
                </a:cubicBezTo>
                <a:cubicBezTo>
                  <a:pt x="192590" y="22868"/>
                  <a:pt x="208003" y="21942"/>
                  <a:pt x="218893" y="30101"/>
                </a:cubicBezTo>
                <a:cubicBezTo>
                  <a:pt x="224020" y="33943"/>
                  <a:pt x="225138" y="41351"/>
                  <a:pt x="227328" y="47372"/>
                </a:cubicBezTo>
                <a:cubicBezTo>
                  <a:pt x="232858" y="62574"/>
                  <a:pt x="236305" y="78655"/>
                  <a:pt x="237771" y="94765"/>
                </a:cubicBezTo>
                <a:cubicBezTo>
                  <a:pt x="241999" y="141228"/>
                  <a:pt x="236044" y="200676"/>
                  <a:pt x="199213" y="229315"/>
                </a:cubicBezTo>
                <a:cubicBezTo>
                  <a:pt x="169940" y="252078"/>
                  <a:pt x="128254" y="255823"/>
                  <a:pt x="91172" y="255823"/>
                </a:cubicBezTo>
                <a:cubicBezTo>
                  <a:pt x="75240" y="255823"/>
                  <a:pt x="59187" y="258197"/>
                  <a:pt x="43377" y="256224"/>
                </a:cubicBezTo>
                <a:cubicBezTo>
                  <a:pt x="36607" y="255379"/>
                  <a:pt x="30426" y="251724"/>
                  <a:pt x="23697" y="250601"/>
                </a:cubicBezTo>
                <a:cubicBezTo>
                  <a:pt x="17082" y="249497"/>
                  <a:pt x="10321" y="251806"/>
                  <a:pt x="3615" y="25180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074375" y="6717425"/>
            <a:ext cx="492025" cy="120500"/>
          </a:xfrm>
          <a:custGeom>
            <a:rect b="b" l="l" r="r" t="t"/>
            <a:pathLst>
              <a:path extrusionOk="0" h="4820" w="19681">
                <a:moveTo>
                  <a:pt x="19681" y="4820"/>
                </a:moveTo>
                <a:cubicBezTo>
                  <a:pt x="13019" y="3709"/>
                  <a:pt x="6754" y="0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064350" y="6466400"/>
            <a:ext cx="441800" cy="251025"/>
          </a:xfrm>
          <a:custGeom>
            <a:rect b="b" l="l" r="r" t="t"/>
            <a:pathLst>
              <a:path extrusionOk="0" h="10041" w="17672">
                <a:moveTo>
                  <a:pt x="0" y="10041"/>
                </a:moveTo>
                <a:cubicBezTo>
                  <a:pt x="5809" y="6555"/>
                  <a:pt x="14639" y="6058"/>
                  <a:pt x="17672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6255550" y="3333600"/>
            <a:ext cx="953875" cy="170700"/>
          </a:xfrm>
          <a:custGeom>
            <a:rect b="b" l="l" r="r" t="t"/>
            <a:pathLst>
              <a:path extrusionOk="0" h="6828" w="38155">
                <a:moveTo>
                  <a:pt x="38155" y="0"/>
                </a:moveTo>
                <a:cubicBezTo>
                  <a:pt x="25335" y="1604"/>
                  <a:pt x="12613" y="4026"/>
                  <a:pt x="0" y="6828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606975" y="3092625"/>
            <a:ext cx="221050" cy="632575"/>
          </a:xfrm>
          <a:custGeom>
            <a:rect b="b" l="l" r="r" t="t"/>
            <a:pathLst>
              <a:path extrusionOk="0" h="25303" w="8842">
                <a:moveTo>
                  <a:pt x="0" y="0"/>
                </a:moveTo>
                <a:cubicBezTo>
                  <a:pt x="8934" y="0"/>
                  <a:pt x="8836" y="16369"/>
                  <a:pt x="8836" y="25303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6175200" y="2942000"/>
            <a:ext cx="1199925" cy="837350"/>
          </a:xfrm>
          <a:custGeom>
            <a:rect b="b" l="l" r="r" t="t"/>
            <a:pathLst>
              <a:path extrusionOk="0" h="33494" w="47997">
                <a:moveTo>
                  <a:pt x="4820" y="22091"/>
                </a:moveTo>
                <a:cubicBezTo>
                  <a:pt x="7506" y="15823"/>
                  <a:pt x="13526" y="11456"/>
                  <a:pt x="18878" y="7230"/>
                </a:cubicBezTo>
                <a:cubicBezTo>
                  <a:pt x="22554" y="4327"/>
                  <a:pt x="26243" y="0"/>
                  <a:pt x="30927" y="0"/>
                </a:cubicBezTo>
                <a:cubicBezTo>
                  <a:pt x="38333" y="0"/>
                  <a:pt x="46748" y="7128"/>
                  <a:pt x="47796" y="14460"/>
                </a:cubicBezTo>
                <a:cubicBezTo>
                  <a:pt x="49410" y="25745"/>
                  <a:pt x="30609" y="34597"/>
                  <a:pt x="19279" y="33337"/>
                </a:cubicBezTo>
                <a:cubicBezTo>
                  <a:pt x="10965" y="32412"/>
                  <a:pt x="0" y="25636"/>
                  <a:pt x="0" y="17271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0</xdr:col>
      <xdr:colOff>161925</xdr:colOff>
      <xdr:row>3</xdr:row>
      <xdr:rowOff>38100</xdr:rowOff>
    </xdr:from>
    <xdr:ext cx="4000500" cy="81915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38</xdr:row>
      <xdr:rowOff>38100</xdr:rowOff>
    </xdr:from>
    <xdr:ext cx="4086225" cy="72390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75</xdr:row>
      <xdr:rowOff>47625</xdr:rowOff>
    </xdr:from>
    <xdr:ext cx="3790950" cy="819150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9</xdr:row>
      <xdr:rowOff>57150</xdr:rowOff>
    </xdr:from>
    <xdr:ext cx="1981200" cy="1238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85725</xdr:colOff>
      <xdr:row>27</xdr:row>
      <xdr:rowOff>123825</xdr:rowOff>
    </xdr:from>
    <xdr:ext cx="2105025" cy="1304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19050</xdr:colOff>
      <xdr:row>44</xdr:row>
      <xdr:rowOff>85725</xdr:rowOff>
    </xdr:from>
    <xdr:ext cx="2105025" cy="1304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19050</xdr:colOff>
      <xdr:row>64</xdr:row>
      <xdr:rowOff>85725</xdr:rowOff>
    </xdr:from>
    <xdr:ext cx="2105025" cy="1304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333375</xdr:colOff>
      <xdr:row>127</xdr:row>
      <xdr:rowOff>123825</xdr:rowOff>
    </xdr:from>
    <xdr:ext cx="6438900" cy="7953375"/>
    <xdr:grpSp>
      <xdr:nvGrpSpPr>
        <xdr:cNvPr id="2" name="Shape 2" title="Drawing"/>
        <xdr:cNvGrpSpPr/>
      </xdr:nvGrpSpPr>
      <xdr:grpSpPr>
        <a:xfrm>
          <a:off x="953900" y="412235"/>
          <a:ext cx="6421225" cy="6426200"/>
          <a:chOff x="953900" y="412235"/>
          <a:chExt cx="6421225" cy="6426200"/>
        </a:xfrm>
      </xdr:grpSpPr>
      <xdr:sp>
        <xdr:nvSpPr>
          <xdr:cNvPr id="3" name="Shape 3"/>
          <xdr:cNvSpPr/>
        </xdr:nvSpPr>
        <xdr:spPr>
          <a:xfrm>
            <a:off x="953900" y="412235"/>
            <a:ext cx="5975200" cy="6426200"/>
          </a:xfrm>
          <a:custGeom>
            <a:rect b="b" l="l" r="r" t="t"/>
            <a:pathLst>
              <a:path extrusionOk="0" h="257048" w="239008">
                <a:moveTo>
                  <a:pt x="0" y="782"/>
                </a:moveTo>
                <a:cubicBezTo>
                  <a:pt x="15666" y="-1458"/>
                  <a:pt x="31679" y="1719"/>
                  <a:pt x="47393" y="3593"/>
                </a:cubicBezTo>
                <a:cubicBezTo>
                  <a:pt x="73248" y="6676"/>
                  <a:pt x="99060" y="10113"/>
                  <a:pt x="124910" y="13232"/>
                </a:cubicBezTo>
                <a:cubicBezTo>
                  <a:pt x="143030" y="15419"/>
                  <a:pt x="161078" y="18176"/>
                  <a:pt x="179131" y="20864"/>
                </a:cubicBezTo>
                <a:cubicBezTo>
                  <a:pt x="192590" y="22868"/>
                  <a:pt x="208003" y="21942"/>
                  <a:pt x="218893" y="30101"/>
                </a:cubicBezTo>
                <a:cubicBezTo>
                  <a:pt x="224020" y="33943"/>
                  <a:pt x="225138" y="41351"/>
                  <a:pt x="227328" y="47372"/>
                </a:cubicBezTo>
                <a:cubicBezTo>
                  <a:pt x="232858" y="62574"/>
                  <a:pt x="236305" y="78655"/>
                  <a:pt x="237771" y="94765"/>
                </a:cubicBezTo>
                <a:cubicBezTo>
                  <a:pt x="241999" y="141228"/>
                  <a:pt x="236044" y="200676"/>
                  <a:pt x="199213" y="229315"/>
                </a:cubicBezTo>
                <a:cubicBezTo>
                  <a:pt x="169940" y="252078"/>
                  <a:pt x="128254" y="255823"/>
                  <a:pt x="91172" y="255823"/>
                </a:cubicBezTo>
                <a:cubicBezTo>
                  <a:pt x="75240" y="255823"/>
                  <a:pt x="59187" y="258197"/>
                  <a:pt x="43377" y="256224"/>
                </a:cubicBezTo>
                <a:cubicBezTo>
                  <a:pt x="36607" y="255379"/>
                  <a:pt x="30426" y="251724"/>
                  <a:pt x="23697" y="250601"/>
                </a:cubicBezTo>
                <a:cubicBezTo>
                  <a:pt x="17082" y="249497"/>
                  <a:pt x="10321" y="251806"/>
                  <a:pt x="3615" y="25180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074375" y="6717425"/>
            <a:ext cx="492025" cy="120500"/>
          </a:xfrm>
          <a:custGeom>
            <a:rect b="b" l="l" r="r" t="t"/>
            <a:pathLst>
              <a:path extrusionOk="0" h="4820" w="19681">
                <a:moveTo>
                  <a:pt x="19681" y="4820"/>
                </a:moveTo>
                <a:cubicBezTo>
                  <a:pt x="13019" y="3709"/>
                  <a:pt x="6754" y="0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064350" y="6466400"/>
            <a:ext cx="441800" cy="251025"/>
          </a:xfrm>
          <a:custGeom>
            <a:rect b="b" l="l" r="r" t="t"/>
            <a:pathLst>
              <a:path extrusionOk="0" h="10041" w="17672">
                <a:moveTo>
                  <a:pt x="0" y="10041"/>
                </a:moveTo>
                <a:cubicBezTo>
                  <a:pt x="5809" y="6555"/>
                  <a:pt x="14639" y="6058"/>
                  <a:pt x="17672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6255550" y="3333600"/>
            <a:ext cx="953875" cy="170700"/>
          </a:xfrm>
          <a:custGeom>
            <a:rect b="b" l="l" r="r" t="t"/>
            <a:pathLst>
              <a:path extrusionOk="0" h="6828" w="38155">
                <a:moveTo>
                  <a:pt x="38155" y="0"/>
                </a:moveTo>
                <a:cubicBezTo>
                  <a:pt x="25335" y="1604"/>
                  <a:pt x="12613" y="4026"/>
                  <a:pt x="0" y="6828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606975" y="3092625"/>
            <a:ext cx="221050" cy="632575"/>
          </a:xfrm>
          <a:custGeom>
            <a:rect b="b" l="l" r="r" t="t"/>
            <a:pathLst>
              <a:path extrusionOk="0" h="25303" w="8842">
                <a:moveTo>
                  <a:pt x="0" y="0"/>
                </a:moveTo>
                <a:cubicBezTo>
                  <a:pt x="8934" y="0"/>
                  <a:pt x="8836" y="16369"/>
                  <a:pt x="8836" y="25303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6175200" y="2942000"/>
            <a:ext cx="1199925" cy="837350"/>
          </a:xfrm>
          <a:custGeom>
            <a:rect b="b" l="l" r="r" t="t"/>
            <a:pathLst>
              <a:path extrusionOk="0" h="33494" w="47997">
                <a:moveTo>
                  <a:pt x="4820" y="22091"/>
                </a:moveTo>
                <a:cubicBezTo>
                  <a:pt x="7506" y="15823"/>
                  <a:pt x="13526" y="11456"/>
                  <a:pt x="18878" y="7230"/>
                </a:cubicBezTo>
                <a:cubicBezTo>
                  <a:pt x="22554" y="4327"/>
                  <a:pt x="26243" y="0"/>
                  <a:pt x="30927" y="0"/>
                </a:cubicBezTo>
                <a:cubicBezTo>
                  <a:pt x="38333" y="0"/>
                  <a:pt x="46748" y="7128"/>
                  <a:pt x="47796" y="14460"/>
                </a:cubicBezTo>
                <a:cubicBezTo>
                  <a:pt x="49410" y="25745"/>
                  <a:pt x="30609" y="34597"/>
                  <a:pt x="19279" y="33337"/>
                </a:cubicBezTo>
                <a:cubicBezTo>
                  <a:pt x="10965" y="32412"/>
                  <a:pt x="0" y="25636"/>
                  <a:pt x="0" y="17271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0</xdr:col>
      <xdr:colOff>161925</xdr:colOff>
      <xdr:row>3</xdr:row>
      <xdr:rowOff>38100</xdr:rowOff>
    </xdr:from>
    <xdr:ext cx="4000500" cy="81915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38</xdr:row>
      <xdr:rowOff>38100</xdr:rowOff>
    </xdr:from>
    <xdr:ext cx="4086225" cy="72390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75</xdr:row>
      <xdr:rowOff>47625</xdr:rowOff>
    </xdr:from>
    <xdr:ext cx="3790950" cy="819150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88"/>
    <col customWidth="1" min="3" max="3" width="6.0"/>
    <col customWidth="1" min="4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5"/>
      <c r="T3" s="6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K4" s="2"/>
      <c r="L4" s="2"/>
      <c r="M4" s="2"/>
      <c r="N4" s="2"/>
      <c r="O4" s="2"/>
      <c r="P4" s="2"/>
      <c r="Q4" s="2"/>
      <c r="R4" s="2"/>
      <c r="S4" s="5"/>
      <c r="T4" s="6"/>
      <c r="U4" s="2"/>
      <c r="V4" s="2"/>
      <c r="W4" s="2"/>
      <c r="X4" s="2"/>
      <c r="Y4" s="2"/>
      <c r="Z4" s="2"/>
    </row>
    <row r="5">
      <c r="K5" s="2"/>
      <c r="L5" s="2"/>
      <c r="M5" s="2"/>
      <c r="N5" s="2"/>
      <c r="O5" s="2"/>
      <c r="P5" s="2"/>
      <c r="Q5" s="2"/>
      <c r="R5" s="2"/>
      <c r="S5" s="5"/>
      <c r="T5" s="6"/>
      <c r="U5" s="2"/>
      <c r="V5" s="2"/>
      <c r="W5" s="2"/>
      <c r="X5" s="2"/>
      <c r="Y5" s="2"/>
      <c r="Z5" s="2"/>
    </row>
    <row r="6">
      <c r="K6" s="2"/>
      <c r="L6" s="2"/>
      <c r="M6" s="2"/>
      <c r="N6" s="2"/>
      <c r="O6" s="2"/>
      <c r="P6" s="2"/>
      <c r="Q6" s="2"/>
      <c r="R6" s="2"/>
      <c r="S6" s="5"/>
      <c r="T6" s="6"/>
      <c r="U6" s="2"/>
      <c r="V6" s="2"/>
      <c r="W6" s="2"/>
      <c r="X6" s="2"/>
      <c r="Y6" s="2"/>
      <c r="Z6" s="2"/>
    </row>
    <row r="7">
      <c r="K7" s="2"/>
      <c r="L7" s="2"/>
      <c r="M7" s="2"/>
      <c r="N7" s="2"/>
      <c r="O7" s="2"/>
      <c r="P7" s="2"/>
      <c r="Q7" s="2"/>
      <c r="R7" s="2"/>
      <c r="S7" s="5"/>
      <c r="T7" s="6"/>
      <c r="U7" s="2"/>
      <c r="V7" s="2"/>
      <c r="W7" s="2"/>
      <c r="X7" s="2"/>
      <c r="Y7" s="2"/>
      <c r="Z7" s="2"/>
    </row>
    <row r="8">
      <c r="K8" s="2"/>
      <c r="L8" s="2"/>
      <c r="M8" s="2"/>
      <c r="N8" s="2"/>
      <c r="O8" s="2"/>
      <c r="P8" s="2"/>
      <c r="Q8" s="2"/>
      <c r="R8" s="2"/>
      <c r="S8" s="5"/>
      <c r="T8" s="6"/>
      <c r="U8" s="2"/>
      <c r="V8" s="2"/>
      <c r="W8" s="2"/>
      <c r="X8" s="2"/>
      <c r="Y8" s="2"/>
      <c r="Z8" s="2"/>
    </row>
    <row r="9">
      <c r="B9" s="1"/>
      <c r="C9" s="2"/>
      <c r="D9" s="2"/>
      <c r="E9" s="2"/>
      <c r="F9" s="2"/>
      <c r="G9" s="7" t="s">
        <v>1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5"/>
      <c r="T9" s="6"/>
      <c r="U9" s="2"/>
      <c r="V9" s="2"/>
      <c r="W9" s="2"/>
      <c r="X9" s="2"/>
      <c r="Y9" s="2"/>
      <c r="Z9" s="2"/>
    </row>
    <row r="10">
      <c r="B10" s="1"/>
      <c r="C10" s="2"/>
      <c r="D10" s="2"/>
      <c r="E10" s="2"/>
      <c r="F10" s="2"/>
      <c r="G10" s="2"/>
      <c r="H10" s="9" t="s">
        <v>2</v>
      </c>
      <c r="I10" s="10" t="s">
        <v>3</v>
      </c>
      <c r="J10" s="2"/>
      <c r="K10" s="2"/>
      <c r="L10" s="2"/>
      <c r="M10" s="2"/>
      <c r="N10" s="2"/>
      <c r="O10" s="2"/>
      <c r="P10" s="2"/>
      <c r="Q10" s="2"/>
      <c r="R10" s="2"/>
      <c r="S10" s="5"/>
      <c r="T10" s="6"/>
      <c r="U10" s="2"/>
      <c r="V10" s="2"/>
      <c r="W10" s="2"/>
      <c r="X10" s="2"/>
      <c r="Y10" s="2"/>
      <c r="Z10" s="2"/>
    </row>
    <row r="11">
      <c r="B11" s="11" t="s">
        <v>4</v>
      </c>
      <c r="C11" s="12">
        <f t="shared" ref="C11:G11" si="1">Rand()</f>
        <v>0.5365649491</v>
      </c>
      <c r="D11" s="13">
        <f t="shared" si="1"/>
        <v>0.6999380064</v>
      </c>
      <c r="E11" s="13">
        <f t="shared" si="1"/>
        <v>0.02911360814</v>
      </c>
      <c r="F11" s="13">
        <f t="shared" si="1"/>
        <v>0.3725323676</v>
      </c>
      <c r="G11" s="14">
        <f t="shared" si="1"/>
        <v>0.9161322208</v>
      </c>
      <c r="H11" s="24"/>
      <c r="I11" s="15"/>
      <c r="J11" s="2"/>
      <c r="K11" s="2"/>
      <c r="L11" s="2"/>
      <c r="M11" s="2"/>
      <c r="N11" s="2"/>
      <c r="O11" s="2"/>
      <c r="P11" s="2"/>
      <c r="Q11" s="2"/>
      <c r="R11" s="2"/>
      <c r="S11" s="5"/>
      <c r="T11" s="6"/>
      <c r="U11" s="2"/>
      <c r="V11" s="2"/>
      <c r="W11" s="2"/>
      <c r="X11" s="2"/>
      <c r="Y11" s="2"/>
      <c r="Z11" s="2"/>
    </row>
    <row r="12">
      <c r="B12" s="1"/>
      <c r="C12" s="16">
        <f t="shared" ref="C12:G12" si="2">Rand()</f>
        <v>0.2394558122</v>
      </c>
      <c r="D12" s="15">
        <f t="shared" si="2"/>
        <v>0.6459358726</v>
      </c>
      <c r="E12" s="15">
        <f t="shared" si="2"/>
        <v>0.977946888</v>
      </c>
      <c r="F12" s="15">
        <f t="shared" si="2"/>
        <v>0.2717429684</v>
      </c>
      <c r="G12" s="17">
        <f t="shared" si="2"/>
        <v>0.3431084375</v>
      </c>
      <c r="H12" s="15"/>
      <c r="I12" s="15"/>
      <c r="J12" s="2"/>
      <c r="K12" s="2"/>
      <c r="L12" s="2"/>
      <c r="M12" s="2"/>
      <c r="N12" s="2"/>
      <c r="O12" s="2"/>
      <c r="P12" s="2"/>
      <c r="Q12" s="2"/>
      <c r="R12" s="2"/>
      <c r="S12" s="5"/>
      <c r="T12" s="6"/>
      <c r="U12" s="2"/>
      <c r="V12" s="2"/>
      <c r="W12" s="2"/>
      <c r="X12" s="2"/>
      <c r="Y12" s="2"/>
      <c r="Z12" s="2"/>
    </row>
    <row r="13">
      <c r="B13" s="1"/>
      <c r="C13" s="16">
        <f t="shared" ref="C13:G13" si="3">Rand()</f>
        <v>0.3635879202</v>
      </c>
      <c r="D13" s="15">
        <f t="shared" si="3"/>
        <v>0.8177663036</v>
      </c>
      <c r="E13" s="15">
        <f t="shared" si="3"/>
        <v>0.4981328579</v>
      </c>
      <c r="F13" s="15">
        <f t="shared" si="3"/>
        <v>0.6867062125</v>
      </c>
      <c r="G13" s="17">
        <f t="shared" si="3"/>
        <v>0.4196872881</v>
      </c>
      <c r="H13" s="15"/>
      <c r="I13" s="15"/>
      <c r="J13" s="2"/>
      <c r="K13" s="2"/>
      <c r="L13" s="2"/>
      <c r="M13" s="2"/>
      <c r="N13" s="2"/>
      <c r="O13" s="2"/>
      <c r="P13" s="2"/>
      <c r="Q13" s="2"/>
      <c r="R13" s="2"/>
      <c r="S13" s="5"/>
      <c r="T13" s="6"/>
      <c r="U13" s="2"/>
      <c r="V13" s="2"/>
      <c r="W13" s="2"/>
      <c r="X13" s="2"/>
      <c r="Y13" s="2"/>
      <c r="Z13" s="2"/>
    </row>
    <row r="14">
      <c r="B14" s="1"/>
      <c r="C14" s="16">
        <f t="shared" ref="C14:G14" si="4">Rand()</f>
        <v>0.9430908337</v>
      </c>
      <c r="D14" s="15">
        <f t="shared" si="4"/>
        <v>0.1543291626</v>
      </c>
      <c r="E14" s="15">
        <f t="shared" si="4"/>
        <v>0.08310243359</v>
      </c>
      <c r="F14" s="15">
        <f t="shared" si="4"/>
        <v>0.1577903939</v>
      </c>
      <c r="G14" s="17">
        <f t="shared" si="4"/>
        <v>0.3342810098</v>
      </c>
      <c r="H14" s="15"/>
      <c r="I14" s="15"/>
      <c r="J14" s="2"/>
      <c r="K14" s="2"/>
      <c r="L14" s="2"/>
      <c r="M14" s="2"/>
      <c r="N14" s="2"/>
      <c r="O14" s="2"/>
      <c r="P14" s="2"/>
      <c r="Q14" s="2"/>
      <c r="R14" s="2"/>
      <c r="S14" s="5"/>
      <c r="T14" s="6"/>
      <c r="U14" s="2"/>
      <c r="V14" s="2"/>
      <c r="W14" s="2"/>
      <c r="X14" s="2"/>
      <c r="Y14" s="2"/>
      <c r="Z14" s="2"/>
    </row>
    <row r="15">
      <c r="B15" s="1"/>
      <c r="C15" s="18">
        <f t="shared" ref="C15:G15" si="5">Rand()</f>
        <v>0.6239034031</v>
      </c>
      <c r="D15" s="19">
        <f t="shared" si="5"/>
        <v>0.03603764128</v>
      </c>
      <c r="E15" s="19">
        <f t="shared" si="5"/>
        <v>0.8305920954</v>
      </c>
      <c r="F15" s="19">
        <f t="shared" si="5"/>
        <v>0.5587503612</v>
      </c>
      <c r="G15" s="20">
        <f t="shared" si="5"/>
        <v>0.9966223455</v>
      </c>
      <c r="H15" s="15"/>
      <c r="I15" s="15"/>
      <c r="J15" s="2"/>
      <c r="K15" s="2"/>
      <c r="L15" s="2"/>
      <c r="M15" s="2"/>
      <c r="N15" s="2"/>
      <c r="O15" s="2"/>
      <c r="P15" s="2"/>
      <c r="Q15" s="2"/>
      <c r="R15" s="2"/>
      <c r="S15" s="5"/>
      <c r="T15" s="6"/>
      <c r="U15" s="2"/>
      <c r="V15" s="2"/>
      <c r="W15" s="2"/>
      <c r="X15" s="2"/>
      <c r="Y15" s="2"/>
      <c r="Z15" s="2"/>
    </row>
    <row r="16">
      <c r="I16" s="2"/>
      <c r="J16" s="2"/>
      <c r="K16" s="2"/>
      <c r="L16" s="2"/>
      <c r="M16" s="2"/>
      <c r="N16" s="2"/>
      <c r="O16" s="2"/>
      <c r="P16" s="2"/>
      <c r="Q16" s="2"/>
      <c r="R16" s="2"/>
      <c r="S16" s="5"/>
      <c r="T16" s="6"/>
      <c r="U16" s="2"/>
      <c r="V16" s="2"/>
      <c r="W16" s="2"/>
      <c r="X16" s="2"/>
      <c r="Y16" s="2"/>
      <c r="Z16" s="2"/>
    </row>
    <row r="17">
      <c r="I17" s="2"/>
      <c r="J17" s="2"/>
      <c r="K17" s="2"/>
      <c r="L17" s="2"/>
      <c r="M17" s="2"/>
      <c r="N17" s="2"/>
      <c r="O17" s="2"/>
      <c r="P17" s="2"/>
      <c r="Q17" s="2"/>
      <c r="R17" s="2"/>
      <c r="S17" s="5"/>
      <c r="T17" s="6"/>
      <c r="U17" s="2"/>
      <c r="V17" s="2"/>
      <c r="W17" s="2"/>
      <c r="X17" s="2"/>
      <c r="Y17" s="2"/>
      <c r="Z17" s="2"/>
    </row>
    <row r="18">
      <c r="A18" s="21" t="s">
        <v>5</v>
      </c>
      <c r="F18" s="22" t="s">
        <v>6</v>
      </c>
      <c r="G18" s="23">
        <f>1E-16</f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5"/>
      <c r="T18" s="6"/>
      <c r="U18" s="2"/>
      <c r="V18" s="2"/>
      <c r="W18" s="2"/>
      <c r="X18" s="2"/>
      <c r="Y18" s="2"/>
      <c r="Z18" s="2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/>
      <c r="T19" s="27"/>
      <c r="U19" s="25"/>
      <c r="V19" s="25"/>
      <c r="W19" s="25"/>
      <c r="X19" s="25"/>
      <c r="Y19" s="25"/>
      <c r="Z19" s="25"/>
    </row>
    <row r="20">
      <c r="A20" s="25"/>
      <c r="B20" s="11" t="s">
        <v>7</v>
      </c>
      <c r="C20" s="28"/>
      <c r="D20" s="29"/>
      <c r="E20" s="29"/>
      <c r="F20" s="29"/>
      <c r="G20" s="30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r="T20" s="27"/>
      <c r="U20" s="25"/>
      <c r="V20" s="25"/>
      <c r="W20" s="25"/>
      <c r="X20" s="25"/>
      <c r="Y20" s="25"/>
      <c r="Z20" s="25"/>
    </row>
    <row r="21">
      <c r="A21" s="25"/>
      <c r="B21" s="11" t="s">
        <v>8</v>
      </c>
      <c r="C21" s="31"/>
      <c r="D21" s="32"/>
      <c r="E21" s="32"/>
      <c r="F21" s="32"/>
      <c r="G21" s="3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r="T21" s="27"/>
      <c r="U21" s="25"/>
      <c r="V21" s="25"/>
      <c r="W21" s="25"/>
      <c r="X21" s="25"/>
      <c r="Y21" s="25"/>
      <c r="Z21" s="25"/>
    </row>
    <row r="22">
      <c r="A22" s="25"/>
      <c r="B22" s="25"/>
      <c r="C22" s="31"/>
      <c r="D22" s="32"/>
      <c r="E22" s="32"/>
      <c r="F22" s="32"/>
      <c r="G22" s="33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r="T22" s="27"/>
      <c r="U22" s="25"/>
      <c r="V22" s="25"/>
      <c r="W22" s="25"/>
      <c r="X22" s="25"/>
      <c r="Y22" s="25"/>
      <c r="Z22" s="25"/>
    </row>
    <row r="23">
      <c r="A23" s="25"/>
      <c r="B23" s="25"/>
      <c r="C23" s="31"/>
      <c r="D23" s="32"/>
      <c r="E23" s="32"/>
      <c r="F23" s="32"/>
      <c r="G23" s="33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6"/>
      <c r="T23" s="27"/>
      <c r="U23" s="25"/>
      <c r="V23" s="25"/>
      <c r="W23" s="25"/>
      <c r="X23" s="25"/>
      <c r="Y23" s="25"/>
      <c r="Z23" s="25"/>
    </row>
    <row r="24">
      <c r="A24" s="25"/>
      <c r="B24" s="25"/>
      <c r="C24" s="34"/>
      <c r="D24" s="35"/>
      <c r="E24" s="35"/>
      <c r="F24" s="35"/>
      <c r="G24" s="3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27"/>
      <c r="U24" s="25"/>
      <c r="V24" s="25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5"/>
      <c r="T25" s="6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5"/>
      <c r="T26" s="6"/>
      <c r="U26" s="2"/>
      <c r="V26" s="2"/>
      <c r="W26" s="2"/>
      <c r="X26" s="2"/>
      <c r="Y26" s="2"/>
      <c r="Z26" s="2"/>
    </row>
    <row r="27">
      <c r="A27" s="37" t="s">
        <v>9</v>
      </c>
      <c r="E27" s="2"/>
      <c r="F27" s="22" t="s">
        <v>10</v>
      </c>
      <c r="G27" s="38">
        <v>0.5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5"/>
      <c r="T27" s="6"/>
      <c r="U27" s="2"/>
      <c r="V27" s="2"/>
      <c r="W27" s="2"/>
      <c r="X27" s="2"/>
      <c r="Y27" s="2"/>
      <c r="Z27" s="2"/>
    </row>
    <row r="28">
      <c r="E28" s="2"/>
      <c r="F28" s="22" t="s">
        <v>11</v>
      </c>
      <c r="G28" s="38">
        <v>0.1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5"/>
      <c r="T28" s="6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5"/>
      <c r="T29" s="6"/>
      <c r="U29" s="2"/>
      <c r="V29" s="2"/>
      <c r="W29" s="2"/>
      <c r="X29" s="2"/>
      <c r="Y29" s="2"/>
      <c r="Z29" s="2"/>
    </row>
    <row r="30">
      <c r="B30" s="22" t="s">
        <v>12</v>
      </c>
      <c r="C30" s="39"/>
      <c r="D30" s="40"/>
      <c r="E30" s="40"/>
      <c r="F30" s="40"/>
      <c r="G30" s="4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5"/>
      <c r="T30" s="6"/>
      <c r="U30" s="2"/>
      <c r="V30" s="2"/>
      <c r="W30" s="2"/>
      <c r="Z30" s="2"/>
    </row>
    <row r="31">
      <c r="B31" s="1"/>
      <c r="C31" s="42"/>
      <c r="D31" s="43"/>
      <c r="E31" s="43"/>
      <c r="F31" s="43"/>
      <c r="G31" s="4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5"/>
      <c r="T31" s="6"/>
      <c r="U31" s="2"/>
      <c r="V31" s="2"/>
      <c r="W31" s="2"/>
      <c r="Z31" s="2"/>
    </row>
    <row r="32">
      <c r="B32" s="1"/>
      <c r="C32" s="42"/>
      <c r="D32" s="43"/>
      <c r="E32" s="43"/>
      <c r="F32" s="43"/>
      <c r="G32" s="4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5"/>
      <c r="T32" s="6"/>
      <c r="U32" s="2"/>
      <c r="V32" s="2"/>
      <c r="W32" s="2"/>
      <c r="X32" s="2"/>
      <c r="Y32" s="2"/>
      <c r="Z32" s="2"/>
    </row>
    <row r="33">
      <c r="B33" s="1"/>
      <c r="C33" s="42"/>
      <c r="D33" s="43"/>
      <c r="E33" s="43"/>
      <c r="F33" s="43"/>
      <c r="G33" s="4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"/>
      <c r="T33" s="6"/>
      <c r="U33" s="2"/>
      <c r="V33" s="2"/>
      <c r="W33" s="2"/>
      <c r="X33" s="2"/>
      <c r="Y33" s="2"/>
      <c r="Z33" s="2"/>
    </row>
    <row r="34">
      <c r="B34" s="1"/>
      <c r="C34" s="45"/>
      <c r="D34" s="46"/>
      <c r="E34" s="46"/>
      <c r="F34" s="46"/>
      <c r="G34" s="4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"/>
      <c r="T34" s="6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6"/>
      <c r="U35" s="2"/>
      <c r="V35" s="2"/>
      <c r="W35" s="2"/>
      <c r="X35" s="2"/>
      <c r="Y35" s="2"/>
      <c r="Z35" s="2"/>
    </row>
    <row r="36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5"/>
      <c r="T36" s="6"/>
      <c r="U36" s="2"/>
      <c r="V36" s="2"/>
      <c r="W36" s="2"/>
      <c r="X36" s="2"/>
      <c r="Y36" s="2"/>
      <c r="Z36" s="2"/>
    </row>
    <row r="37">
      <c r="A37" s="3" t="s">
        <v>13</v>
      </c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11" t="s">
        <v>4</v>
      </c>
      <c r="C46" s="48">
        <f t="shared" ref="C46:G46" si="6">Rand()</f>
        <v>0.366325657</v>
      </c>
      <c r="D46" s="49">
        <f t="shared" si="6"/>
        <v>0.3593955195</v>
      </c>
      <c r="E46" s="50">
        <f t="shared" si="6"/>
        <v>0.4687407588</v>
      </c>
      <c r="F46" s="51">
        <f t="shared" si="6"/>
        <v>0.8075297926</v>
      </c>
      <c r="G46" s="52">
        <f t="shared" si="6"/>
        <v>0.8078310356</v>
      </c>
      <c r="H46" s="53"/>
      <c r="I46" s="53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54">
        <f t="shared" ref="C47:G47" si="7">Rand()</f>
        <v>0.2601636358</v>
      </c>
      <c r="D47" s="55">
        <f t="shared" si="7"/>
        <v>0.6724075573</v>
      </c>
      <c r="E47" s="56">
        <f t="shared" si="7"/>
        <v>0.4034811519</v>
      </c>
      <c r="F47" s="57">
        <f t="shared" si="7"/>
        <v>0.1858033267</v>
      </c>
      <c r="G47" s="58">
        <f t="shared" si="7"/>
        <v>0.06741177503</v>
      </c>
      <c r="H47" s="53"/>
      <c r="I47" s="53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59">
        <f t="shared" ref="C48:G48" si="8">Rand()</f>
        <v>0.282483806</v>
      </c>
      <c r="D48" s="60">
        <f t="shared" si="8"/>
        <v>0.1479932443</v>
      </c>
      <c r="E48" s="61">
        <f t="shared" si="8"/>
        <v>0.8137614741</v>
      </c>
      <c r="F48" s="62">
        <f t="shared" si="8"/>
        <v>0.4191213236</v>
      </c>
      <c r="G48" s="63">
        <f t="shared" si="8"/>
        <v>0.9258354148</v>
      </c>
      <c r="H48" s="53"/>
      <c r="I48" s="53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64">
        <f t="shared" ref="C49:G49" si="9">Rand()</f>
        <v>0.9199184221</v>
      </c>
      <c r="D49" s="65">
        <f t="shared" si="9"/>
        <v>0.4679152842</v>
      </c>
      <c r="E49" s="66">
        <f t="shared" si="9"/>
        <v>0.6925518481</v>
      </c>
      <c r="F49" s="67">
        <f t="shared" si="9"/>
        <v>0.1219230099</v>
      </c>
      <c r="G49" s="68">
        <f t="shared" si="9"/>
        <v>0.7494717372</v>
      </c>
      <c r="H49" s="53"/>
      <c r="I49" s="53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69">
        <f t="shared" ref="C50:G50" si="10">Rand()</f>
        <v>0.9722268501</v>
      </c>
      <c r="D50" s="70">
        <f t="shared" si="10"/>
        <v>0.8240315038</v>
      </c>
      <c r="E50" s="71">
        <f t="shared" si="10"/>
        <v>0.3015865711</v>
      </c>
      <c r="F50" s="72">
        <f t="shared" si="10"/>
        <v>0.3685973384</v>
      </c>
      <c r="G50" s="73">
        <f t="shared" si="10"/>
        <v>0.2453260161</v>
      </c>
      <c r="H50" s="53"/>
      <c r="I50" s="53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74" t="s">
        <v>2</v>
      </c>
      <c r="C51" s="53">
        <f t="shared" ref="C51:G51" si="11">AVERAGE(C46:C50)</f>
        <v>0.5602236742</v>
      </c>
      <c r="D51" s="53">
        <f t="shared" si="11"/>
        <v>0.4943486218</v>
      </c>
      <c r="E51" s="53">
        <f t="shared" si="11"/>
        <v>0.5360243608</v>
      </c>
      <c r="F51" s="53">
        <f t="shared" si="11"/>
        <v>0.3805949583</v>
      </c>
      <c r="G51" s="53">
        <f t="shared" si="11"/>
        <v>0.5591751957</v>
      </c>
      <c r="H51" s="75" t="s">
        <v>1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76" t="s">
        <v>3</v>
      </c>
      <c r="C52" s="53">
        <f t="shared" ref="C52:G52" si="12">Var(C46:C50)</f>
        <v>0.1259747077</v>
      </c>
      <c r="D52" s="53">
        <f t="shared" si="12"/>
        <v>0.06981722395</v>
      </c>
      <c r="E52" s="53">
        <f t="shared" si="12"/>
        <v>0.04467365523</v>
      </c>
      <c r="F52" s="53">
        <f t="shared" si="12"/>
        <v>0.07218913326</v>
      </c>
      <c r="G52" s="53">
        <f t="shared" si="12"/>
        <v>0.1432036965</v>
      </c>
      <c r="H52" s="77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78"/>
      <c r="B54" s="78"/>
      <c r="C54" s="78"/>
      <c r="D54" s="78"/>
      <c r="E54" s="25"/>
      <c r="F54" s="79"/>
      <c r="G54" s="80"/>
      <c r="H54" s="80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78" t="s">
        <v>5</v>
      </c>
      <c r="E55" s="25"/>
      <c r="F55" s="79" t="s">
        <v>6</v>
      </c>
      <c r="G55" s="80">
        <f>1E-16</f>
        <v>0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81"/>
      <c r="T56" s="82"/>
      <c r="U56" s="25"/>
      <c r="V56" s="25"/>
      <c r="W56" s="25"/>
      <c r="X56" s="25"/>
      <c r="Y56" s="25"/>
      <c r="Z56" s="25"/>
    </row>
    <row r="57">
      <c r="A57" s="25"/>
      <c r="B57" s="79" t="s">
        <v>7</v>
      </c>
      <c r="C57" s="83"/>
      <c r="D57" s="84"/>
      <c r="E57" s="84"/>
      <c r="F57" s="84"/>
      <c r="G57" s="8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81"/>
      <c r="T57" s="82"/>
      <c r="U57" s="25"/>
      <c r="V57" s="25"/>
      <c r="W57" s="25"/>
      <c r="X57" s="25"/>
      <c r="Y57" s="25"/>
      <c r="Z57" s="25"/>
    </row>
    <row r="58">
      <c r="A58" s="25"/>
      <c r="B58" s="11" t="s">
        <v>14</v>
      </c>
      <c r="C58" s="86"/>
      <c r="D58" s="87"/>
      <c r="E58" s="87"/>
      <c r="F58" s="87"/>
      <c r="G58" s="88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81"/>
      <c r="T58" s="82"/>
      <c r="U58" s="25"/>
      <c r="V58" s="25"/>
      <c r="W58" s="25"/>
      <c r="X58" s="25"/>
      <c r="Y58" s="25"/>
      <c r="Z58" s="25"/>
    </row>
    <row r="59">
      <c r="A59" s="25"/>
      <c r="B59" s="25"/>
      <c r="C59" s="86"/>
      <c r="D59" s="87"/>
      <c r="E59" s="87"/>
      <c r="F59" s="87"/>
      <c r="G59" s="88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81"/>
      <c r="T59" s="82"/>
      <c r="U59" s="25"/>
      <c r="V59" s="25"/>
      <c r="W59" s="25"/>
      <c r="X59" s="25"/>
      <c r="Y59" s="25"/>
      <c r="Z59" s="25"/>
    </row>
    <row r="60">
      <c r="A60" s="25"/>
      <c r="B60" s="25"/>
      <c r="C60" s="86"/>
      <c r="D60" s="87"/>
      <c r="E60" s="87"/>
      <c r="F60" s="87"/>
      <c r="G60" s="88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81"/>
      <c r="T60" s="82"/>
      <c r="U60" s="25"/>
      <c r="V60" s="25"/>
      <c r="W60" s="25"/>
      <c r="X60" s="25"/>
      <c r="Y60" s="25"/>
      <c r="Z60" s="25"/>
    </row>
    <row r="61">
      <c r="A61" s="25"/>
      <c r="B61" s="25"/>
      <c r="C61" s="89"/>
      <c r="D61" s="90"/>
      <c r="E61" s="90"/>
      <c r="F61" s="90"/>
      <c r="G61" s="91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81"/>
      <c r="T61" s="82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92" t="s">
        <v>9</v>
      </c>
      <c r="E64" s="25"/>
      <c r="F64" s="79" t="s">
        <v>10</v>
      </c>
      <c r="G64" s="93">
        <v>0.5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E65" s="25"/>
      <c r="F65" s="79" t="s">
        <v>11</v>
      </c>
      <c r="G65" s="94">
        <v>-0.1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11" t="s">
        <v>15</v>
      </c>
      <c r="C67" s="28">
        <f t="shared" ref="C67:G67" si="13">$G$64*C57+$G$65</f>
        <v>-0.1</v>
      </c>
      <c r="D67" s="29">
        <f t="shared" si="13"/>
        <v>-0.1</v>
      </c>
      <c r="E67" s="29">
        <f t="shared" si="13"/>
        <v>-0.1</v>
      </c>
      <c r="F67" s="29">
        <f t="shared" si="13"/>
        <v>-0.1</v>
      </c>
      <c r="G67" s="30">
        <f t="shared" si="13"/>
        <v>-0.1</v>
      </c>
      <c r="H67" s="25"/>
      <c r="I67" s="25"/>
      <c r="J67" s="9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31">
        <f t="shared" ref="C68:G68" si="14">$G$64*C58+$G$65</f>
        <v>-0.1</v>
      </c>
      <c r="D68" s="32">
        <f t="shared" si="14"/>
        <v>-0.1</v>
      </c>
      <c r="E68" s="32">
        <f t="shared" si="14"/>
        <v>-0.1</v>
      </c>
      <c r="F68" s="32">
        <f t="shared" si="14"/>
        <v>-0.1</v>
      </c>
      <c r="G68" s="33">
        <f t="shared" si="14"/>
        <v>-0.1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31">
        <f t="shared" ref="C69:G69" si="15">$G$64*C59+$G$65</f>
        <v>-0.1</v>
      </c>
      <c r="D69" s="32">
        <f t="shared" si="15"/>
        <v>-0.1</v>
      </c>
      <c r="E69" s="32">
        <f t="shared" si="15"/>
        <v>-0.1</v>
      </c>
      <c r="F69" s="32">
        <f t="shared" si="15"/>
        <v>-0.1</v>
      </c>
      <c r="G69" s="33">
        <f t="shared" si="15"/>
        <v>-0.1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31">
        <f t="shared" ref="C70:G70" si="16">$G$64*C60+$G$65</f>
        <v>-0.1</v>
      </c>
      <c r="D70" s="32">
        <f t="shared" si="16"/>
        <v>-0.1</v>
      </c>
      <c r="E70" s="32">
        <f t="shared" si="16"/>
        <v>-0.1</v>
      </c>
      <c r="F70" s="32">
        <f t="shared" si="16"/>
        <v>-0.1</v>
      </c>
      <c r="G70" s="33">
        <f t="shared" si="16"/>
        <v>-0.1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34">
        <f t="shared" ref="C71:G71" si="17">$G$64*C61+$G$65</f>
        <v>-0.1</v>
      </c>
      <c r="D71" s="35">
        <f t="shared" si="17"/>
        <v>-0.1</v>
      </c>
      <c r="E71" s="35">
        <f t="shared" si="17"/>
        <v>-0.1</v>
      </c>
      <c r="F71" s="35">
        <f t="shared" si="17"/>
        <v>-0.1</v>
      </c>
      <c r="G71" s="36">
        <f t="shared" si="17"/>
        <v>-0.1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3" t="s">
        <v>16</v>
      </c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C81" s="25"/>
      <c r="D81" s="25"/>
      <c r="E81" s="25"/>
      <c r="F81" s="25"/>
      <c r="G81" s="111" t="s">
        <v>1</v>
      </c>
      <c r="H81" s="8"/>
      <c r="I81" s="8"/>
      <c r="J81" s="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C82" s="25"/>
      <c r="D82" s="25"/>
      <c r="E82" s="25"/>
      <c r="F82" s="25"/>
      <c r="G82" s="25"/>
      <c r="H82" s="25"/>
      <c r="I82" s="9" t="s">
        <v>17</v>
      </c>
      <c r="J82" s="112"/>
      <c r="K82" s="2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C83" s="79" t="s">
        <v>4</v>
      </c>
      <c r="D83" s="113">
        <f t="shared" ref="D83:H83" si="18">Rand()</f>
        <v>0.3452837864</v>
      </c>
      <c r="E83" s="114">
        <f t="shared" si="18"/>
        <v>0.313303234</v>
      </c>
      <c r="F83" s="115">
        <f t="shared" si="18"/>
        <v>0.1476025852</v>
      </c>
      <c r="G83" s="116">
        <f t="shared" si="18"/>
        <v>0.8809229578</v>
      </c>
      <c r="H83" s="117">
        <f t="shared" si="18"/>
        <v>0.7444686397</v>
      </c>
      <c r="I83" s="119" t="s">
        <v>21</v>
      </c>
      <c r="J83" s="81"/>
      <c r="K83" s="2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C84" s="25"/>
      <c r="D84" s="120">
        <f t="shared" ref="D84:H84" si="19">Rand()</f>
        <v>0.369084907</v>
      </c>
      <c r="E84" s="121">
        <f t="shared" si="19"/>
        <v>0.7529269468</v>
      </c>
      <c r="F84" s="122">
        <f t="shared" si="19"/>
        <v>0.2505864884</v>
      </c>
      <c r="G84" s="123">
        <f t="shared" si="19"/>
        <v>0.5158889449</v>
      </c>
      <c r="H84" s="124">
        <f t="shared" si="19"/>
        <v>0.4662100601</v>
      </c>
      <c r="I84" s="15">
        <f t="shared" ref="I84:I87" si="21">SUMSQ(D84:H84)</f>
        <v>1.249409468</v>
      </c>
      <c r="J84" s="81"/>
      <c r="K84" s="2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C85" s="25"/>
      <c r="D85" s="128">
        <f t="shared" ref="D85:H85" si="20">Rand()</f>
        <v>0.779827846</v>
      </c>
      <c r="E85" s="129">
        <f t="shared" si="20"/>
        <v>0.1892283656</v>
      </c>
      <c r="F85" s="130">
        <f t="shared" si="20"/>
        <v>0.8746285889</v>
      </c>
      <c r="G85" s="131">
        <f t="shared" si="20"/>
        <v>0.7546721527</v>
      </c>
      <c r="H85" s="132">
        <f t="shared" si="20"/>
        <v>0.4169119127</v>
      </c>
      <c r="I85" s="15">
        <f t="shared" si="21"/>
        <v>2.152259613</v>
      </c>
      <c r="J85" s="81"/>
      <c r="K85" s="2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C86" s="25"/>
      <c r="D86" s="133">
        <f t="shared" ref="D86:H86" si="22">Rand()</f>
        <v>0.5575245247</v>
      </c>
      <c r="E86" s="134">
        <f t="shared" si="22"/>
        <v>0.8906116513</v>
      </c>
      <c r="F86" s="135">
        <f t="shared" si="22"/>
        <v>0.09944117486</v>
      </c>
      <c r="G86" s="137">
        <f t="shared" si="22"/>
        <v>0.2183001256</v>
      </c>
      <c r="H86" s="138">
        <f t="shared" si="22"/>
        <v>0.1347627188</v>
      </c>
      <c r="I86" s="15">
        <f t="shared" si="21"/>
        <v>1.179727192</v>
      </c>
      <c r="J86" s="81"/>
      <c r="K86" s="2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C87" s="25"/>
      <c r="D87" s="144">
        <f t="shared" ref="D87:H87" si="23">Rand()</f>
        <v>0.5418820163</v>
      </c>
      <c r="E87" s="145">
        <f t="shared" si="23"/>
        <v>0.3460808192</v>
      </c>
      <c r="F87" s="146">
        <f t="shared" si="23"/>
        <v>0.0504655924</v>
      </c>
      <c r="G87" s="147">
        <f t="shared" si="23"/>
        <v>0.7217882851</v>
      </c>
      <c r="H87" s="149">
        <f t="shared" si="23"/>
        <v>0.5317769027</v>
      </c>
      <c r="I87" s="15">
        <f t="shared" si="21"/>
        <v>1.219719832</v>
      </c>
      <c r="J87" s="81"/>
      <c r="K87" s="2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J88" s="2"/>
      <c r="K88" s="2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J89" s="2"/>
      <c r="K89" s="2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1" t="s">
        <v>5</v>
      </c>
      <c r="G90" s="22" t="s">
        <v>6</v>
      </c>
      <c r="H90" s="23">
        <f>1E-16</f>
        <v>0</v>
      </c>
      <c r="J90" s="2"/>
      <c r="K90" s="2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11" t="s">
        <v>18</v>
      </c>
      <c r="D92" s="156" t="s">
        <v>22</v>
      </c>
      <c r="E92" s="29"/>
      <c r="F92" s="29"/>
      <c r="G92" s="29"/>
      <c r="H92" s="30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11" t="s">
        <v>8</v>
      </c>
      <c r="D93" s="31"/>
      <c r="E93" s="32"/>
      <c r="F93" s="32"/>
      <c r="G93" s="32"/>
      <c r="H93" s="33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31"/>
      <c r="E94" s="32"/>
      <c r="F94" s="32"/>
      <c r="G94" s="32"/>
      <c r="H94" s="33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31"/>
      <c r="E95" s="32"/>
      <c r="F95" s="32"/>
      <c r="G95" s="32"/>
      <c r="H95" s="33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34"/>
      <c r="E96" s="35"/>
      <c r="F96" s="35"/>
      <c r="G96" s="35"/>
      <c r="H96" s="36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C97" s="1"/>
      <c r="D97" s="2"/>
      <c r="E97" s="2"/>
      <c r="F97" s="2"/>
      <c r="G97" s="2"/>
      <c r="H97" s="2"/>
      <c r="I97" s="2"/>
      <c r="J97" s="2"/>
      <c r="K97" s="2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C98" s="1"/>
      <c r="D98" s="2"/>
      <c r="E98" s="2"/>
      <c r="F98" s="2"/>
      <c r="G98" s="2"/>
      <c r="H98" s="2"/>
      <c r="I98" s="2"/>
      <c r="J98" s="2"/>
      <c r="K98" s="2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37" t="s">
        <v>9</v>
      </c>
      <c r="F99" s="2"/>
      <c r="G99" s="22" t="s">
        <v>10</v>
      </c>
      <c r="H99" s="38">
        <v>0.5</v>
      </c>
      <c r="I99" s="2"/>
      <c r="J99" s="2"/>
      <c r="K99" s="2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F100" s="2"/>
      <c r="G100" s="22"/>
      <c r="H100" s="4"/>
      <c r="I100" s="2"/>
      <c r="J100" s="2"/>
      <c r="K100" s="2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C101" s="1"/>
      <c r="D101" s="2"/>
      <c r="E101" s="2"/>
      <c r="F101" s="2"/>
      <c r="G101" s="2"/>
      <c r="H101" s="2"/>
      <c r="I101" s="2"/>
      <c r="J101" s="2"/>
      <c r="K101" s="2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C102" s="22" t="s">
        <v>19</v>
      </c>
      <c r="D102" s="39" t="str">
        <f>RRAYFORMULA(H99*D92:H96)</f>
        <v>#NAME?</v>
      </c>
      <c r="E102" s="40"/>
      <c r="F102" s="40"/>
      <c r="G102" s="40"/>
      <c r="H102" s="41"/>
      <c r="I102" s="2"/>
      <c r="J102" s="2"/>
      <c r="K102" s="2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C103" s="1"/>
      <c r="D103" s="42"/>
      <c r="E103" s="43"/>
      <c r="F103" s="43"/>
      <c r="G103" s="43"/>
      <c r="H103" s="44"/>
      <c r="I103" s="2"/>
      <c r="J103" s="2"/>
      <c r="K103" s="2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C104" s="1"/>
      <c r="D104" s="42"/>
      <c r="E104" s="43"/>
      <c r="F104" s="43"/>
      <c r="G104" s="43"/>
      <c r="H104" s="44"/>
      <c r="I104" s="2"/>
      <c r="J104" s="2"/>
      <c r="K104" s="2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C105" s="1"/>
      <c r="D105" s="42"/>
      <c r="E105" s="43"/>
      <c r="F105" s="43"/>
      <c r="G105" s="43"/>
      <c r="H105" s="44"/>
      <c r="I105" s="2"/>
      <c r="J105" s="2"/>
      <c r="K105" s="2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C106" s="1"/>
      <c r="D106" s="45"/>
      <c r="E106" s="46"/>
      <c r="F106" s="46"/>
      <c r="G106" s="46"/>
      <c r="H106" s="47"/>
      <c r="I106" s="2"/>
      <c r="J106" s="2"/>
      <c r="K106" s="2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5"/>
      <c r="T107" s="6"/>
      <c r="U107" s="2"/>
      <c r="V107" s="2"/>
      <c r="W107" s="2"/>
      <c r="X107" s="2"/>
      <c r="Y107" s="2"/>
      <c r="Z107" s="2"/>
    </row>
    <row r="108">
      <c r="A108" s="3" t="s">
        <v>20</v>
      </c>
    </row>
    <row r="109"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5"/>
      <c r="T109" s="6"/>
      <c r="U109" s="2"/>
      <c r="V109" s="2"/>
      <c r="W109" s="2"/>
      <c r="X109" s="2"/>
      <c r="Y109" s="2"/>
      <c r="Z109" s="2"/>
    </row>
    <row r="110">
      <c r="B110" s="11" t="s">
        <v>4</v>
      </c>
      <c r="C110" s="12">
        <f t="shared" ref="C110:G110" si="24">Rand()</f>
        <v>0.5632500258</v>
      </c>
      <c r="D110" s="13">
        <f t="shared" si="24"/>
        <v>0.6522400993</v>
      </c>
      <c r="E110" s="13">
        <f t="shared" si="24"/>
        <v>0.4631104435</v>
      </c>
      <c r="F110" s="13">
        <f t="shared" si="24"/>
        <v>0.5209398439</v>
      </c>
      <c r="G110" s="14">
        <f t="shared" si="24"/>
        <v>0.6255990554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5"/>
      <c r="T110" s="6"/>
      <c r="U110" s="2"/>
      <c r="V110" s="2"/>
      <c r="W110" s="2"/>
      <c r="X110" s="2"/>
      <c r="Y110" s="2"/>
      <c r="Z110" s="2"/>
    </row>
    <row r="111">
      <c r="B111" s="1"/>
      <c r="C111" s="16">
        <f t="shared" ref="C111:G111" si="25">Rand()</f>
        <v>0.4002283513</v>
      </c>
      <c r="D111" s="15">
        <f t="shared" si="25"/>
        <v>0.6334842652</v>
      </c>
      <c r="E111" s="15">
        <f t="shared" si="25"/>
        <v>0.007040170301</v>
      </c>
      <c r="F111" s="15">
        <f t="shared" si="25"/>
        <v>0.8279745847</v>
      </c>
      <c r="G111" s="17">
        <f t="shared" si="25"/>
        <v>0.9925419605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5"/>
      <c r="T111" s="6"/>
      <c r="U111" s="2"/>
      <c r="V111" s="2"/>
      <c r="W111" s="2"/>
      <c r="X111" s="2"/>
      <c r="Y111" s="2"/>
      <c r="Z111" s="2"/>
    </row>
    <row r="112">
      <c r="B112" s="1"/>
      <c r="C112" s="16">
        <f t="shared" ref="C112:G112" si="26">Rand()</f>
        <v>0.6911415741</v>
      </c>
      <c r="D112" s="15">
        <f t="shared" si="26"/>
        <v>0.08514309768</v>
      </c>
      <c r="E112" s="15">
        <f t="shared" si="26"/>
        <v>0.6407929371</v>
      </c>
      <c r="F112" s="15">
        <f t="shared" si="26"/>
        <v>0.02909401718</v>
      </c>
      <c r="G112" s="17">
        <f t="shared" si="26"/>
        <v>0.4845399959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5"/>
      <c r="T112" s="6"/>
      <c r="U112" s="2"/>
      <c r="V112" s="2"/>
      <c r="W112" s="2"/>
      <c r="X112" s="2"/>
      <c r="Y112" s="2"/>
      <c r="Z112" s="2"/>
    </row>
    <row r="113">
      <c r="B113" s="1"/>
      <c r="C113" s="16">
        <f t="shared" ref="C113:G113" si="27">Rand()</f>
        <v>0.5894522003</v>
      </c>
      <c r="D113" s="15">
        <f t="shared" si="27"/>
        <v>0.5738299089</v>
      </c>
      <c r="E113" s="15">
        <f t="shared" si="27"/>
        <v>0.4624804841</v>
      </c>
      <c r="F113" s="15">
        <f t="shared" si="27"/>
        <v>0.621978251</v>
      </c>
      <c r="G113" s="17">
        <f t="shared" si="27"/>
        <v>0.4360381634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5"/>
      <c r="T113" s="6"/>
      <c r="U113" s="2"/>
      <c r="V113" s="2"/>
      <c r="W113" s="2"/>
      <c r="X113" s="2"/>
      <c r="Y113" s="2"/>
      <c r="Z113" s="2"/>
    </row>
    <row r="114">
      <c r="B114" s="1"/>
      <c r="C114" s="18">
        <f t="shared" ref="C114:G114" si="28">Rand()</f>
        <v>0.2949821762</v>
      </c>
      <c r="D114" s="19">
        <f t="shared" si="28"/>
        <v>0.8044120209</v>
      </c>
      <c r="E114" s="19">
        <f t="shared" si="28"/>
        <v>0.5429778166</v>
      </c>
      <c r="F114" s="19">
        <f t="shared" si="28"/>
        <v>0.9067846426</v>
      </c>
      <c r="G114" s="20">
        <f t="shared" si="28"/>
        <v>0.07430142952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5"/>
      <c r="T114" s="6"/>
      <c r="U114" s="2"/>
      <c r="V114" s="2"/>
      <c r="W114" s="2"/>
      <c r="X114" s="2"/>
      <c r="Y114" s="2"/>
      <c r="Z114" s="2"/>
    </row>
    <row r="115"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5"/>
      <c r="T115" s="6"/>
      <c r="U115" s="2"/>
      <c r="V115" s="2"/>
      <c r="W115" s="2"/>
      <c r="X115" s="2"/>
      <c r="Y115" s="2"/>
      <c r="Z115" s="2"/>
    </row>
    <row r="116">
      <c r="C116" s="118" t="s">
        <v>19</v>
      </c>
      <c r="D116" s="2"/>
      <c r="E116" s="2"/>
      <c r="F116" s="2"/>
      <c r="G116" s="2"/>
      <c r="H116" s="2"/>
      <c r="J116" s="11" t="s">
        <v>15</v>
      </c>
      <c r="K116" s="2"/>
      <c r="L116" s="2"/>
      <c r="M116" s="2"/>
      <c r="N116" s="2"/>
      <c r="O116" s="118" t="s">
        <v>12</v>
      </c>
      <c r="P116" s="2"/>
      <c r="Q116" s="2"/>
      <c r="R116" s="2"/>
      <c r="S116" s="5"/>
      <c r="T116" s="6"/>
      <c r="U116" s="2"/>
      <c r="V116" s="2"/>
      <c r="W116" s="2"/>
      <c r="X116" s="2"/>
      <c r="Y116" s="2"/>
      <c r="Z116" s="2"/>
    </row>
    <row r="117">
      <c r="C117" s="160">
        <f t="array" ref="C117:G121">LET(x,C110:G114,rms,SQRT(MMULT(x^2,SEQUENCE(5,1,1/5,0))),x/rms)</f>
        <v>0.9895625622</v>
      </c>
      <c r="D117" s="126">
        <v>1.1459074199678407</v>
      </c>
      <c r="E117" s="126">
        <v>0.813629358270538</v>
      </c>
      <c r="F117" s="126">
        <v>0.9152286605473611</v>
      </c>
      <c r="G117" s="127">
        <v>1.0991023094849814</v>
      </c>
      <c r="H117" s="2"/>
      <c r="I117" s="12">
        <f t="array" ref="I117:M121">LET(x,C110:G114,mu,MMULT(SEQUENCE(1,5,1/5,0),x),c,x-mu,v,MMULT(SEQUENCE(1,5,1/5,0),c^2),c/SQRT(v))</f>
        <v>0.3915854999</v>
      </c>
      <c r="J117" s="13">
        <v>0.41895393855787183</v>
      </c>
      <c r="K117" s="13">
        <v>0.18255386773128904</v>
      </c>
      <c r="L117" s="13">
        <v>-0.19559520783867043</v>
      </c>
      <c r="M117" s="14">
        <v>0.3466576221442201</v>
      </c>
      <c r="N117" s="2"/>
      <c r="O117" s="12">
        <f t="shared" ref="O117:S117" si="29">(C110-AVERAGE($C110:$G110))/STDEVP($C110:$G110)</f>
        <v>-0.0258729783</v>
      </c>
      <c r="P117" s="13">
        <f t="shared" si="29"/>
        <v>1.269182954</v>
      </c>
      <c r="Q117" s="13">
        <f t="shared" si="29"/>
        <v>-1.48318563</v>
      </c>
      <c r="R117" s="13">
        <f t="shared" si="29"/>
        <v>-0.641605159</v>
      </c>
      <c r="S117" s="14">
        <f t="shared" si="29"/>
        <v>0.8814808136</v>
      </c>
      <c r="T117" s="6"/>
      <c r="U117" s="2"/>
      <c r="V117" s="2"/>
      <c r="W117" s="2"/>
      <c r="X117" s="2"/>
      <c r="Y117" s="2"/>
      <c r="Z117" s="2"/>
    </row>
    <row r="118">
      <c r="C118" s="161">
        <v>0.5989971238226809</v>
      </c>
      <c r="D118" s="142">
        <v>0.9480968842372767</v>
      </c>
      <c r="E118" s="142">
        <v>0.010536589294722554</v>
      </c>
      <c r="F118" s="142">
        <v>1.2391785670905038</v>
      </c>
      <c r="G118" s="143">
        <v>1.48547642286954</v>
      </c>
      <c r="H118" s="2"/>
      <c r="I118" s="16">
        <v>-0.7598916081444181</v>
      </c>
      <c r="J118" s="15">
        <v>0.3422309637254103</v>
      </c>
      <c r="K118" s="15">
        <v>-1.9077609540505251</v>
      </c>
      <c r="L118" s="15">
        <v>0.7984476045488326</v>
      </c>
      <c r="M118" s="17">
        <v>1.5817043319031168</v>
      </c>
      <c r="N118" s="2"/>
      <c r="O118" s="16">
        <f t="shared" ref="O118:S118" si="30">(C111-AVERAGE($C111:$G111))/STDEVP($C111:$G111)</f>
        <v>-0.4987425962</v>
      </c>
      <c r="P118" s="15">
        <f t="shared" si="30"/>
        <v>0.1775213871</v>
      </c>
      <c r="Q118" s="15">
        <f t="shared" si="30"/>
        <v>-1.638687993</v>
      </c>
      <c r="R118" s="15">
        <f t="shared" si="30"/>
        <v>0.7413947569</v>
      </c>
      <c r="S118" s="17">
        <f t="shared" si="30"/>
        <v>1.218514446</v>
      </c>
      <c r="T118" s="6"/>
      <c r="U118" s="2"/>
      <c r="V118" s="2"/>
      <c r="W118" s="2"/>
      <c r="X118" s="2"/>
      <c r="Y118" s="2"/>
      <c r="Z118" s="2"/>
    </row>
    <row r="119">
      <c r="C119" s="161">
        <v>1.4530770419925751</v>
      </c>
      <c r="D119" s="142">
        <v>0.1790074351838171</v>
      </c>
      <c r="E119" s="142">
        <v>1.3472225380022262</v>
      </c>
      <c r="F119" s="142">
        <v>0.061168145578548695</v>
      </c>
      <c r="G119" s="143">
        <v>1.018711607496617</v>
      </c>
      <c r="H119" s="2"/>
      <c r="I119" s="16">
        <v>1.294926669920781</v>
      </c>
      <c r="J119" s="15">
        <v>-1.9008239313326576</v>
      </c>
      <c r="K119" s="15">
        <v>0.9969291334687993</v>
      </c>
      <c r="L119" s="15">
        <v>-1.7879746483808203</v>
      </c>
      <c r="M119" s="17">
        <v>-0.12811522386641913</v>
      </c>
      <c r="N119" s="2"/>
      <c r="O119" s="16">
        <f t="shared" ref="O119:S119" si="31">(C112-AVERAGE($C112:$G112))/STDEVP($C112:$G112)</f>
        <v>1.098231974</v>
      </c>
      <c r="P119" s="15">
        <f t="shared" si="31"/>
        <v>-1.083828813</v>
      </c>
      <c r="Q119" s="15">
        <f t="shared" si="31"/>
        <v>0.9169381412</v>
      </c>
      <c r="R119" s="15">
        <f t="shared" si="31"/>
        <v>-1.285648629</v>
      </c>
      <c r="S119" s="17">
        <f t="shared" si="31"/>
        <v>0.3543073274</v>
      </c>
      <c r="T119" s="6"/>
      <c r="U119" s="2"/>
      <c r="V119" s="2"/>
      <c r="W119" s="2"/>
      <c r="X119" s="2"/>
      <c r="Y119" s="2"/>
      <c r="Z119" s="2"/>
    </row>
    <row r="120">
      <c r="C120" s="161">
        <v>1.0879987584758553</v>
      </c>
      <c r="D120" s="142">
        <v>1.0591634539562778</v>
      </c>
      <c r="E120" s="142">
        <v>0.8536369737877775</v>
      </c>
      <c r="F120" s="142">
        <v>1.1480346745004995</v>
      </c>
      <c r="G120" s="143">
        <v>0.8048302817895111</v>
      </c>
      <c r="H120" s="2"/>
      <c r="I120" s="16">
        <v>0.5766603021409561</v>
      </c>
      <c r="J120" s="15">
        <v>0.0982077098371958</v>
      </c>
      <c r="K120" s="15">
        <v>0.17966656369947484</v>
      </c>
      <c r="L120" s="15">
        <v>0.13152250570367663</v>
      </c>
      <c r="M120" s="17">
        <v>-0.29136140664596744</v>
      </c>
      <c r="N120" s="2"/>
      <c r="O120" s="16">
        <f t="shared" ref="O120:S120" si="32">(C113-AVERAGE($C113:$G113))/STDEVP($C113:$G113)</f>
        <v>0.7161115102</v>
      </c>
      <c r="P120" s="15">
        <f t="shared" si="32"/>
        <v>0.5038142189</v>
      </c>
      <c r="Q120" s="15">
        <f t="shared" si="32"/>
        <v>-1.009355687</v>
      </c>
      <c r="R120" s="15">
        <f t="shared" si="32"/>
        <v>1.158120449</v>
      </c>
      <c r="S120" s="17">
        <f t="shared" si="32"/>
        <v>-1.368690491</v>
      </c>
      <c r="T120" s="6"/>
      <c r="U120" s="2"/>
      <c r="V120" s="2"/>
      <c r="W120" s="2"/>
      <c r="X120" s="2"/>
      <c r="Y120" s="2"/>
      <c r="Z120" s="2"/>
    </row>
    <row r="121">
      <c r="C121" s="162">
        <v>0.4840723071242877</v>
      </c>
      <c r="D121" s="152">
        <v>1.3200580042255614</v>
      </c>
      <c r="E121" s="152">
        <v>0.8910386645945276</v>
      </c>
      <c r="F121" s="152">
        <v>1.4880537516448478</v>
      </c>
      <c r="G121" s="153">
        <v>0.1219302971729782</v>
      </c>
      <c r="H121" s="2"/>
      <c r="I121" s="18">
        <v>-1.5032808638392179</v>
      </c>
      <c r="J121" s="19">
        <v>1.0414313192121778</v>
      </c>
      <c r="K121" s="19">
        <v>0.5486113891509621</v>
      </c>
      <c r="L121" s="19">
        <v>1.053599745966981</v>
      </c>
      <c r="M121" s="20">
        <v>-1.50888532353495</v>
      </c>
      <c r="N121" s="2"/>
      <c r="O121" s="18">
        <f t="shared" ref="O121:S121" si="33">(C114-AVERAGE($C114:$G114))/STDEVP($C114:$G114)</f>
        <v>-0.7412367899</v>
      </c>
      <c r="P121" s="19">
        <f t="shared" si="33"/>
        <v>0.9026144215</v>
      </c>
      <c r="Q121" s="19">
        <f t="shared" si="33"/>
        <v>0.05900673345</v>
      </c>
      <c r="R121" s="19">
        <f t="shared" si="33"/>
        <v>1.232955017</v>
      </c>
      <c r="S121" s="20">
        <f t="shared" si="33"/>
        <v>-1.453339382</v>
      </c>
      <c r="T121" s="6"/>
      <c r="U121" s="2"/>
      <c r="V121" s="2"/>
      <c r="W121" s="2"/>
      <c r="X121" s="2"/>
      <c r="Y121" s="2"/>
      <c r="Z121" s="2"/>
    </row>
    <row r="122"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5"/>
      <c r="T122" s="6"/>
      <c r="U122" s="2"/>
      <c r="V122" s="2"/>
      <c r="W122" s="2"/>
      <c r="X122" s="2"/>
      <c r="Y122" s="2"/>
      <c r="Z122" s="2"/>
    </row>
    <row r="123"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5"/>
      <c r="T123" s="6"/>
      <c r="U123" s="2"/>
      <c r="V123" s="2"/>
      <c r="W123" s="2"/>
      <c r="X123" s="2"/>
      <c r="Y123" s="2"/>
      <c r="Z123" s="2"/>
    </row>
    <row r="124"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5"/>
      <c r="T124" s="6"/>
      <c r="U124" s="2"/>
      <c r="V124" s="2"/>
      <c r="W124" s="2"/>
      <c r="X124" s="2"/>
      <c r="Y124" s="2"/>
      <c r="Z124" s="2"/>
    </row>
    <row r="125">
      <c r="A125" s="158" t="s">
        <v>23</v>
      </c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22" t="s">
        <v>4</v>
      </c>
      <c r="C127" s="39">
        <f t="shared" ref="C127:G127" si="34">NORMINV(rand(),0, sqrt(2/5))</f>
        <v>-0.9484454127</v>
      </c>
      <c r="D127" s="40">
        <f t="shared" si="34"/>
        <v>0.4772729309</v>
      </c>
      <c r="E127" s="40">
        <f t="shared" si="34"/>
        <v>-0.3024340743</v>
      </c>
      <c r="F127" s="40">
        <f t="shared" si="34"/>
        <v>-0.2597779204</v>
      </c>
      <c r="G127" s="41">
        <f t="shared" si="34"/>
        <v>0.4620640231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42">
        <f t="shared" ref="C128:G128" si="35">NORMINV(rand(),0, sqrt(2/5))</f>
        <v>0.01351673794</v>
      </c>
      <c r="D128" s="43">
        <f t="shared" si="35"/>
        <v>1.50740198</v>
      </c>
      <c r="E128" s="43">
        <f t="shared" si="35"/>
        <v>0.2582314572</v>
      </c>
      <c r="F128" s="43">
        <f t="shared" si="35"/>
        <v>-0.7895267532</v>
      </c>
      <c r="G128" s="44">
        <f t="shared" si="35"/>
        <v>1.430745845</v>
      </c>
      <c r="H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42">
        <f t="shared" ref="C129:G129" si="36">NORMINV(rand(),0, sqrt(2/5))</f>
        <v>0.6745612716</v>
      </c>
      <c r="D129" s="43">
        <f t="shared" si="36"/>
        <v>0.4677680947</v>
      </c>
      <c r="E129" s="43">
        <f t="shared" si="36"/>
        <v>-1.211030536</v>
      </c>
      <c r="F129" s="43">
        <f t="shared" si="36"/>
        <v>-0.04639550188</v>
      </c>
      <c r="G129" s="44">
        <f t="shared" si="36"/>
        <v>1.043541179</v>
      </c>
      <c r="H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42">
        <f t="shared" ref="C130:G130" si="37">NORMINV(rand(),0, sqrt(2/5))</f>
        <v>-0.8170575251</v>
      </c>
      <c r="D130" s="43">
        <f t="shared" si="37"/>
        <v>1.132029503</v>
      </c>
      <c r="E130" s="43">
        <f t="shared" si="37"/>
        <v>-0.8355275055</v>
      </c>
      <c r="F130" s="43">
        <f t="shared" si="37"/>
        <v>0.3186849049</v>
      </c>
      <c r="G130" s="44">
        <f t="shared" si="37"/>
        <v>0.2712794614</v>
      </c>
      <c r="H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45">
        <f t="shared" ref="C131:G131" si="38">NORMINV(rand(),0, sqrt(2/5))</f>
        <v>0.02355952443</v>
      </c>
      <c r="D131" s="46">
        <f t="shared" si="38"/>
        <v>0.02089055846</v>
      </c>
      <c r="E131" s="46">
        <f t="shared" si="38"/>
        <v>-0.3331895667</v>
      </c>
      <c r="F131" s="46">
        <f t="shared" si="38"/>
        <v>0.7879698764</v>
      </c>
      <c r="G131" s="47">
        <f t="shared" si="38"/>
        <v>-0.3818019217</v>
      </c>
      <c r="H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E132" s="4" t="s">
        <v>24</v>
      </c>
      <c r="H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22"/>
      <c r="C133" s="2"/>
      <c r="D133" s="2"/>
      <c r="E133" s="4" t="s">
        <v>24</v>
      </c>
      <c r="F133" s="2"/>
      <c r="G133" s="2"/>
      <c r="H133" s="2"/>
      <c r="I133" s="2"/>
      <c r="J133" s="2"/>
      <c r="K133" s="2"/>
      <c r="L133" s="2"/>
      <c r="S133" s="43"/>
      <c r="T133" s="43"/>
      <c r="U133" s="43"/>
      <c r="V133" s="43"/>
      <c r="W133" s="43"/>
      <c r="X133" s="2"/>
      <c r="Y133" s="2"/>
      <c r="Z133" s="2"/>
    </row>
    <row r="134">
      <c r="B134" s="22" t="s">
        <v>25</v>
      </c>
      <c r="C134" s="12">
        <f t="array" ref="C134:G143">MMULT(J134:N143,C127:G131)</f>
        <v>-0.1863096796</v>
      </c>
      <c r="D134" s="13">
        <v>0.956648136475574</v>
      </c>
      <c r="E134" s="13">
        <v>-1.6087913110834144</v>
      </c>
      <c r="F134" s="13">
        <v>1.8336915976934058</v>
      </c>
      <c r="G134" s="14">
        <v>-0.07349799360198983</v>
      </c>
      <c r="H134" s="2"/>
      <c r="I134" s="22" t="s">
        <v>26</v>
      </c>
      <c r="J134" s="39">
        <f t="shared" ref="J134:N134" si="39">NORMINV(rand(),0, sqrt(2/5))</f>
        <v>0.3173305271</v>
      </c>
      <c r="K134" s="40">
        <f t="shared" si="39"/>
        <v>0.1699840664</v>
      </c>
      <c r="L134" s="40">
        <f t="shared" si="39"/>
        <v>0.4064001116</v>
      </c>
      <c r="M134" s="40">
        <f t="shared" si="39"/>
        <v>0.2705648947</v>
      </c>
      <c r="N134" s="41">
        <f t="shared" si="39"/>
        <v>2.516548258</v>
      </c>
      <c r="S134" s="43"/>
      <c r="T134" s="43"/>
      <c r="U134" s="43"/>
      <c r="V134" s="43"/>
      <c r="W134" s="43"/>
      <c r="X134" s="2"/>
      <c r="Y134" s="2"/>
      <c r="Z134" s="2"/>
    </row>
    <row r="135">
      <c r="C135" s="16">
        <v>0.25702339612381836</v>
      </c>
      <c r="D135" s="15">
        <v>1.223472887758567</v>
      </c>
      <c r="E135" s="15">
        <v>-0.6397065744455327</v>
      </c>
      <c r="F135" s="15">
        <v>-0.06020778329492166</v>
      </c>
      <c r="G135" s="17">
        <v>1.0980926542329352</v>
      </c>
      <c r="H135" s="2"/>
      <c r="I135" s="22" t="s">
        <v>27</v>
      </c>
      <c r="J135" s="42">
        <f t="shared" ref="J135:N135" si="40">NORMINV(rand(),0, sqrt(2/5))</f>
        <v>-0.1266834715</v>
      </c>
      <c r="K135" s="43">
        <f t="shared" si="40"/>
        <v>0.5567769616</v>
      </c>
      <c r="L135" s="43">
        <f t="shared" si="40"/>
        <v>0.4303170218</v>
      </c>
      <c r="M135" s="43">
        <f t="shared" si="40"/>
        <v>0.2079470467</v>
      </c>
      <c r="N135" s="44">
        <f t="shared" si="40"/>
        <v>0.3809386032</v>
      </c>
      <c r="S135" s="43"/>
      <c r="T135" s="43"/>
      <c r="U135" s="43"/>
      <c r="V135" s="43"/>
      <c r="W135" s="43"/>
      <c r="X135" s="2"/>
      <c r="Y135" s="2"/>
      <c r="Z135" s="2"/>
    </row>
    <row r="136">
      <c r="C136" s="16">
        <v>-1.0307453167074092</v>
      </c>
      <c r="D136" s="15">
        <v>1.2091306625175284</v>
      </c>
      <c r="E136" s="15">
        <v>-1.1857273599776263</v>
      </c>
      <c r="F136" s="15">
        <v>-0.2907237686140075</v>
      </c>
      <c r="G136" s="17">
        <v>1.0928086934741472</v>
      </c>
      <c r="H136" s="2"/>
      <c r="I136" s="1"/>
      <c r="J136" s="42">
        <f t="shared" ref="J136:N136" si="41">NORMINV(rand(),0, sqrt(2/5))</f>
        <v>0.9055102476</v>
      </c>
      <c r="K136" s="43">
        <f t="shared" si="41"/>
        <v>-0.0411743242</v>
      </c>
      <c r="L136" s="43">
        <f t="shared" si="41"/>
        <v>0.4409792792</v>
      </c>
      <c r="M136" s="43">
        <f t="shared" si="41"/>
        <v>0.5647445399</v>
      </c>
      <c r="N136" s="44">
        <f t="shared" si="41"/>
        <v>-0.3141192862</v>
      </c>
      <c r="S136" s="43"/>
      <c r="T136" s="43"/>
      <c r="U136" s="43"/>
      <c r="V136" s="43"/>
      <c r="W136" s="43"/>
      <c r="X136" s="2"/>
      <c r="Y136" s="2"/>
      <c r="Z136" s="2"/>
    </row>
    <row r="137">
      <c r="C137" s="16">
        <v>-0.43125880587159554</v>
      </c>
      <c r="D137" s="15">
        <v>2.5180623152478834</v>
      </c>
      <c r="E137" s="15">
        <v>-0.08739021872140187</v>
      </c>
      <c r="F137" s="15">
        <v>-1.8261249986561707</v>
      </c>
      <c r="G137" s="17">
        <v>2.931609660282969</v>
      </c>
      <c r="I137" s="1"/>
      <c r="J137" s="42">
        <f t="shared" ref="J137:N137" si="42">NORMINV(rand(),0, sqrt(2/5))</f>
        <v>0.7681572494</v>
      </c>
      <c r="K137" s="43">
        <f t="shared" si="42"/>
        <v>1.350872617</v>
      </c>
      <c r="L137" s="43">
        <f t="shared" si="42"/>
        <v>0.3833626645</v>
      </c>
      <c r="M137" s="43">
        <f t="shared" si="42"/>
        <v>-0.04433635908</v>
      </c>
      <c r="N137" s="44">
        <f t="shared" si="42"/>
        <v>-0.6702147114</v>
      </c>
      <c r="S137" s="43"/>
      <c r="T137" s="43"/>
      <c r="U137" s="43"/>
      <c r="V137" s="43"/>
      <c r="W137" s="43"/>
      <c r="X137" s="2"/>
      <c r="Y137" s="2"/>
      <c r="Z137" s="2"/>
    </row>
    <row r="138">
      <c r="C138" s="16">
        <v>-1.1914329436000903</v>
      </c>
      <c r="D138" s="15">
        <v>1.8670723979189177</v>
      </c>
      <c r="E138" s="15">
        <v>0.41214246819219197</v>
      </c>
      <c r="F138" s="15">
        <v>-0.5819064450266971</v>
      </c>
      <c r="G138" s="17">
        <v>1.1338624061307858</v>
      </c>
      <c r="I138" s="1"/>
      <c r="J138" s="42">
        <f t="shared" ref="J138:N138" si="43">NORMINV(rand(),0, sqrt(2/5))</f>
        <v>0.7434663372</v>
      </c>
      <c r="K138" s="43">
        <f t="shared" si="43"/>
        <v>1.036210902</v>
      </c>
      <c r="L138" s="43">
        <f t="shared" si="43"/>
        <v>-0.5466458512</v>
      </c>
      <c r="M138" s="43">
        <f t="shared" si="43"/>
        <v>0.1737683933</v>
      </c>
      <c r="N138" s="44">
        <f t="shared" si="43"/>
        <v>0.442411139</v>
      </c>
      <c r="S138" s="43"/>
      <c r="T138" s="43"/>
      <c r="U138" s="43"/>
      <c r="V138" s="43"/>
      <c r="W138" s="43"/>
      <c r="X138" s="2"/>
      <c r="Y138" s="2"/>
      <c r="Z138" s="2"/>
    </row>
    <row r="139">
      <c r="C139" s="16">
        <v>2.3924856589912546</v>
      </c>
      <c r="D139" s="15">
        <v>-1.001062103186972</v>
      </c>
      <c r="E139" s="15">
        <v>0.8034628509256063</v>
      </c>
      <c r="F139" s="15">
        <v>-0.245851207254925</v>
      </c>
      <c r="G139" s="17">
        <v>-0.1589589399634372</v>
      </c>
      <c r="H139" s="159" t="s">
        <v>28</v>
      </c>
      <c r="I139" s="159" t="s">
        <v>28</v>
      </c>
      <c r="J139" s="42">
        <f t="shared" ref="J139:N139" si="44">NORMINV(rand(),0, sqrt(2/5))</f>
        <v>-1.847856728</v>
      </c>
      <c r="K139" s="43">
        <f t="shared" si="44"/>
        <v>0.2137813027</v>
      </c>
      <c r="L139" s="43">
        <f t="shared" si="44"/>
        <v>0.3328314927</v>
      </c>
      <c r="M139" s="43">
        <f t="shared" si="44"/>
        <v>-0.5186206745</v>
      </c>
      <c r="N139" s="44">
        <f t="shared" si="44"/>
        <v>-0.4776566646</v>
      </c>
      <c r="S139" s="43"/>
      <c r="T139" s="43"/>
      <c r="U139" s="43"/>
      <c r="V139" s="43"/>
      <c r="W139" s="43"/>
      <c r="X139" s="2"/>
      <c r="Y139" s="2"/>
      <c r="Z139" s="2"/>
    </row>
    <row r="140">
      <c r="C140" s="16">
        <v>1.0944095894531627</v>
      </c>
      <c r="D140" s="15">
        <v>1.1718872168363756</v>
      </c>
      <c r="E140" s="15">
        <v>-0.9911060300894077</v>
      </c>
      <c r="F140" s="15">
        <v>0.06083140794553671</v>
      </c>
      <c r="G140" s="17">
        <v>1.038039602722487</v>
      </c>
      <c r="I140" s="1"/>
      <c r="J140" s="42">
        <f t="shared" ref="J140:N140" si="45">NORMINV(rand(),0, sqrt(2/5))</f>
        <v>-1.26259901</v>
      </c>
      <c r="K140" s="43">
        <f t="shared" si="45"/>
        <v>0.3816009382</v>
      </c>
      <c r="L140" s="43">
        <f t="shared" si="45"/>
        <v>0.7564567521</v>
      </c>
      <c r="M140" s="43">
        <f t="shared" si="45"/>
        <v>0.7507998721</v>
      </c>
      <c r="N140" s="44">
        <f t="shared" si="45"/>
        <v>-0.2158105122</v>
      </c>
      <c r="S140" s="43"/>
      <c r="T140" s="43"/>
      <c r="U140" s="43"/>
      <c r="V140" s="43"/>
      <c r="W140" s="43"/>
      <c r="X140" s="2"/>
      <c r="Y140" s="2"/>
      <c r="Z140" s="2"/>
    </row>
    <row r="141">
      <c r="C141" s="16">
        <v>-0.8910269788760501</v>
      </c>
      <c r="D141" s="15">
        <v>-1.0013503233280039</v>
      </c>
      <c r="E141" s="15">
        <v>0.4558522892664335</v>
      </c>
      <c r="F141" s="15">
        <v>0.24444783903979664</v>
      </c>
      <c r="G141" s="17">
        <v>-1.1842962255566194</v>
      </c>
      <c r="I141" s="1"/>
      <c r="J141" s="42">
        <f t="shared" ref="J141:N141" si="46">NORMINV(rand(),0, sqrt(2/5))</f>
        <v>0.5783224756</v>
      </c>
      <c r="K141" s="43">
        <f t="shared" si="46"/>
        <v>-0.6178878012</v>
      </c>
      <c r="L141" s="43">
        <f t="shared" si="46"/>
        <v>-0.5720800218</v>
      </c>
      <c r="M141" s="43">
        <f t="shared" si="46"/>
        <v>-0.06691865538</v>
      </c>
      <c r="N141" s="44">
        <f t="shared" si="46"/>
        <v>-0.1248419234</v>
      </c>
      <c r="S141" s="43"/>
      <c r="T141" s="43"/>
      <c r="U141" s="43"/>
      <c r="V141" s="43"/>
      <c r="W141" s="43"/>
      <c r="X141" s="2"/>
      <c r="Y141" s="2"/>
      <c r="Z141" s="2"/>
    </row>
    <row r="142">
      <c r="C142" s="16">
        <v>0.24087017308839934</v>
      </c>
      <c r="D142" s="15">
        <v>3.0660639490768027</v>
      </c>
      <c r="E142" s="15">
        <v>-0.9360190333877527</v>
      </c>
      <c r="F142" s="15">
        <v>-0.8018912218515766</v>
      </c>
      <c r="G142" s="17">
        <v>2.8394023945155276</v>
      </c>
      <c r="I142" s="1"/>
      <c r="J142" s="42">
        <f t="shared" ref="J142:N142" si="47">NORMINV(rand(),0, sqrt(2/5))</f>
        <v>-0.1319653413</v>
      </c>
      <c r="K142" s="43">
        <f t="shared" si="47"/>
        <v>1.488739659</v>
      </c>
      <c r="L142" s="43">
        <f t="shared" si="47"/>
        <v>0.7148403355</v>
      </c>
      <c r="M142" s="43">
        <f t="shared" si="47"/>
        <v>0.4811991424</v>
      </c>
      <c r="N142" s="44">
        <f t="shared" si="47"/>
        <v>0.2779818946</v>
      </c>
      <c r="S142" s="43"/>
      <c r="T142" s="43"/>
      <c r="U142" s="43"/>
      <c r="V142" s="43"/>
      <c r="W142" s="43"/>
      <c r="X142" s="2"/>
      <c r="Y142" s="2"/>
      <c r="Z142" s="2"/>
    </row>
    <row r="143">
      <c r="C143" s="18">
        <v>-0.9418596187625621</v>
      </c>
      <c r="D143" s="19">
        <v>-1.905284273800484</v>
      </c>
      <c r="E143" s="19">
        <v>-0.7416783887452011</v>
      </c>
      <c r="F143" s="19">
        <v>2.047230632241667</v>
      </c>
      <c r="G143" s="20">
        <v>-2.913744674587701</v>
      </c>
      <c r="I143" s="1"/>
      <c r="J143" s="45">
        <f t="shared" ref="J143:N143" si="48">NORMINV(rand(),0, sqrt(2/5))</f>
        <v>-0.006544440922</v>
      </c>
      <c r="K143" s="46">
        <f t="shared" si="48"/>
        <v>-1.721858907</v>
      </c>
      <c r="L143" s="46">
        <f t="shared" si="48"/>
        <v>-0.4393759278</v>
      </c>
      <c r="M143" s="46">
        <f t="shared" si="48"/>
        <v>0.7843229616</v>
      </c>
      <c r="N143" s="47">
        <f t="shared" si="48"/>
        <v>0.5276088796</v>
      </c>
      <c r="X143" s="2"/>
      <c r="Y143" s="2"/>
      <c r="Z143" s="2"/>
    </row>
    <row r="144">
      <c r="E144" s="4" t="s">
        <v>24</v>
      </c>
      <c r="X144" s="2"/>
      <c r="Y144" s="2"/>
      <c r="Z144" s="2"/>
    </row>
    <row r="145">
      <c r="E145" s="4" t="s">
        <v>24</v>
      </c>
      <c r="X145" s="2"/>
      <c r="Y145" s="2"/>
      <c r="Z145" s="2"/>
    </row>
    <row r="146">
      <c r="B146" s="22" t="s">
        <v>29</v>
      </c>
      <c r="C146" s="12">
        <f t="shared" ref="C146:G146" si="49">Max(0,C134)</f>
        <v>0</v>
      </c>
      <c r="D146" s="13">
        <f t="shared" si="49"/>
        <v>0.9566481365</v>
      </c>
      <c r="E146" s="13">
        <f t="shared" si="49"/>
        <v>0</v>
      </c>
      <c r="F146" s="13">
        <f t="shared" si="49"/>
        <v>1.833691598</v>
      </c>
      <c r="G146" s="14">
        <f t="shared" si="49"/>
        <v>0</v>
      </c>
      <c r="X146" s="2"/>
      <c r="Y146" s="2"/>
      <c r="Z146" s="2"/>
    </row>
    <row r="147">
      <c r="C147" s="16">
        <f t="shared" ref="C147:G147" si="50">Max(0,C135)</f>
        <v>0.2570233961</v>
      </c>
      <c r="D147" s="15">
        <f t="shared" si="50"/>
        <v>1.223472888</v>
      </c>
      <c r="E147" s="15">
        <f t="shared" si="50"/>
        <v>0</v>
      </c>
      <c r="F147" s="15">
        <f t="shared" si="50"/>
        <v>0</v>
      </c>
      <c r="G147" s="17">
        <f t="shared" si="50"/>
        <v>1.098092654</v>
      </c>
      <c r="X147" s="2"/>
      <c r="Y147" s="2"/>
      <c r="Z147" s="2"/>
    </row>
    <row r="148">
      <c r="C148" s="16">
        <f t="shared" ref="C148:G148" si="51">Max(0,C136)</f>
        <v>0</v>
      </c>
      <c r="D148" s="15">
        <f t="shared" si="51"/>
        <v>1.209130663</v>
      </c>
      <c r="E148" s="15">
        <f t="shared" si="51"/>
        <v>0</v>
      </c>
      <c r="F148" s="15">
        <f t="shared" si="51"/>
        <v>0</v>
      </c>
      <c r="G148" s="17">
        <f t="shared" si="51"/>
        <v>1.092808693</v>
      </c>
      <c r="X148" s="2"/>
      <c r="Y148" s="2"/>
      <c r="Z148" s="2"/>
    </row>
    <row r="149">
      <c r="C149" s="16">
        <f t="shared" ref="C149:G149" si="52">Max(0,C137)</f>
        <v>0</v>
      </c>
      <c r="D149" s="15">
        <f t="shared" si="52"/>
        <v>2.518062315</v>
      </c>
      <c r="E149" s="15">
        <f t="shared" si="52"/>
        <v>0</v>
      </c>
      <c r="F149" s="15">
        <f t="shared" si="52"/>
        <v>0</v>
      </c>
      <c r="G149" s="17">
        <f t="shared" si="52"/>
        <v>2.93160966</v>
      </c>
      <c r="X149" s="2"/>
      <c r="Y149" s="2"/>
      <c r="Z149" s="2"/>
    </row>
    <row r="150">
      <c r="C150" s="16">
        <f t="shared" ref="C150:G150" si="53">Max(0,C138)</f>
        <v>0</v>
      </c>
      <c r="D150" s="15">
        <f t="shared" si="53"/>
        <v>1.867072398</v>
      </c>
      <c r="E150" s="15">
        <f t="shared" si="53"/>
        <v>0.4121424682</v>
      </c>
      <c r="F150" s="15">
        <f t="shared" si="53"/>
        <v>0</v>
      </c>
      <c r="G150" s="17">
        <f t="shared" si="53"/>
        <v>1.133862406</v>
      </c>
      <c r="X150" s="2"/>
      <c r="Y150" s="2"/>
      <c r="Z150" s="2"/>
    </row>
    <row r="151">
      <c r="C151" s="16">
        <f t="shared" ref="C151:G151" si="54">Max(0,C139)</f>
        <v>2.392485659</v>
      </c>
      <c r="D151" s="15">
        <f t="shared" si="54"/>
        <v>0</v>
      </c>
      <c r="E151" s="15">
        <f t="shared" si="54"/>
        <v>0.8034628509</v>
      </c>
      <c r="F151" s="15">
        <f t="shared" si="54"/>
        <v>0</v>
      </c>
      <c r="G151" s="17">
        <f t="shared" si="54"/>
        <v>0</v>
      </c>
      <c r="X151" s="2"/>
      <c r="Y151" s="2"/>
      <c r="Z151" s="2"/>
    </row>
    <row r="152">
      <c r="C152" s="16">
        <f t="shared" ref="C152:G152" si="55">Max(0,C140)</f>
        <v>1.094409589</v>
      </c>
      <c r="D152" s="15">
        <f t="shared" si="55"/>
        <v>1.171887217</v>
      </c>
      <c r="E152" s="15">
        <f t="shared" si="55"/>
        <v>0</v>
      </c>
      <c r="F152" s="15">
        <f t="shared" si="55"/>
        <v>0.06083140795</v>
      </c>
      <c r="G152" s="17">
        <f t="shared" si="55"/>
        <v>1.038039603</v>
      </c>
      <c r="X152" s="2"/>
      <c r="Y152" s="2"/>
      <c r="Z152" s="2"/>
    </row>
    <row r="153">
      <c r="C153" s="16">
        <f t="shared" ref="C153:G153" si="56">Max(0,C141)</f>
        <v>0</v>
      </c>
      <c r="D153" s="15">
        <f t="shared" si="56"/>
        <v>0</v>
      </c>
      <c r="E153" s="15">
        <f t="shared" si="56"/>
        <v>0.4558522893</v>
      </c>
      <c r="F153" s="15">
        <f t="shared" si="56"/>
        <v>0.244447839</v>
      </c>
      <c r="G153" s="17">
        <f t="shared" si="56"/>
        <v>0</v>
      </c>
      <c r="X153" s="2"/>
      <c r="Y153" s="2"/>
      <c r="Z153" s="2"/>
    </row>
    <row r="154">
      <c r="C154" s="16">
        <f t="shared" ref="C154:G154" si="57">Max(0,C142)</f>
        <v>0.2408701731</v>
      </c>
      <c r="D154" s="15">
        <f t="shared" si="57"/>
        <v>3.066063949</v>
      </c>
      <c r="E154" s="15">
        <f t="shared" si="57"/>
        <v>0</v>
      </c>
      <c r="F154" s="15">
        <f t="shared" si="57"/>
        <v>0</v>
      </c>
      <c r="G154" s="17">
        <f t="shared" si="57"/>
        <v>2.839402395</v>
      </c>
      <c r="X154" s="2"/>
      <c r="Y154" s="2"/>
      <c r="Z154" s="2"/>
    </row>
    <row r="155">
      <c r="C155" s="18">
        <f t="shared" ref="C155:G155" si="58">Max(0,C143)</f>
        <v>0</v>
      </c>
      <c r="D155" s="19">
        <f t="shared" si="58"/>
        <v>0</v>
      </c>
      <c r="E155" s="19">
        <f t="shared" si="58"/>
        <v>0</v>
      </c>
      <c r="F155" s="19">
        <f t="shared" si="58"/>
        <v>2.047230632</v>
      </c>
      <c r="G155" s="20">
        <f t="shared" si="58"/>
        <v>0</v>
      </c>
      <c r="X155" s="2"/>
      <c r="Y155" s="2"/>
      <c r="Z155" s="2"/>
    </row>
    <row r="156">
      <c r="E156" s="4" t="s">
        <v>24</v>
      </c>
      <c r="X156" s="2"/>
      <c r="Y156" s="2"/>
      <c r="Z156" s="2"/>
    </row>
    <row r="157">
      <c r="E157" s="4" t="s">
        <v>24</v>
      </c>
      <c r="X157" s="2"/>
      <c r="Y157" s="2"/>
      <c r="Z157" s="2"/>
    </row>
    <row r="158">
      <c r="B158" s="22" t="s">
        <v>25</v>
      </c>
      <c r="C158" s="12">
        <f t="array" ref="C158:G162">MMULT(J158:S162,C146:G155)</f>
        <v>-0.7099211332</v>
      </c>
      <c r="D158" s="13">
        <v>-5.7749225117048875</v>
      </c>
      <c r="E158" s="13">
        <v>-0.06723822204519142</v>
      </c>
      <c r="F158" s="13">
        <v>-1.2498653154582704</v>
      </c>
      <c r="G158" s="14">
        <v>-5.765182898284395</v>
      </c>
      <c r="I158" s="22" t="s">
        <v>30</v>
      </c>
      <c r="J158" s="39">
        <f t="shared" ref="J158:S158" si="59">NORMINV(rand(),0, sqrt(2/5))</f>
        <v>-0.1365346257</v>
      </c>
      <c r="K158" s="40">
        <f t="shared" si="59"/>
        <v>-0.09802500477</v>
      </c>
      <c r="L158" s="40">
        <f t="shared" si="59"/>
        <v>-0.7179988079</v>
      </c>
      <c r="M158" s="40">
        <f t="shared" si="59"/>
        <v>-0.8713531735</v>
      </c>
      <c r="N158" s="40">
        <f t="shared" si="59"/>
        <v>0.161579216</v>
      </c>
      <c r="O158" s="40">
        <f t="shared" si="59"/>
        <v>0.3175861503</v>
      </c>
      <c r="P158" s="40">
        <f t="shared" si="59"/>
        <v>-1.22455112</v>
      </c>
      <c r="Q158" s="40">
        <f t="shared" si="59"/>
        <v>-0.85334781</v>
      </c>
      <c r="R158" s="40">
        <f t="shared" si="59"/>
        <v>-0.4333713612</v>
      </c>
      <c r="S158" s="41">
        <f t="shared" si="59"/>
        <v>-0.3499423618</v>
      </c>
      <c r="X158" s="2"/>
      <c r="Y158" s="2"/>
      <c r="Z158" s="2"/>
    </row>
    <row r="159">
      <c r="B159" s="22" t="s">
        <v>31</v>
      </c>
      <c r="C159" s="16">
        <v>-0.749050595379639</v>
      </c>
      <c r="D159" s="15">
        <v>0.8168501003906771</v>
      </c>
      <c r="E159" s="15">
        <v>-1.1044751046261894</v>
      </c>
      <c r="F159" s="15">
        <v>-0.4056358032691305</v>
      </c>
      <c r="G159" s="17">
        <v>1.580628124070941</v>
      </c>
      <c r="H159" s="2"/>
      <c r="I159" s="22" t="s">
        <v>32</v>
      </c>
      <c r="J159" s="42">
        <f t="shared" ref="J159:S159" si="60">NORMINV(rand(),0, sqrt(2/5))</f>
        <v>-0.3280287641</v>
      </c>
      <c r="K159" s="43">
        <f t="shared" si="60"/>
        <v>0.3722409517</v>
      </c>
      <c r="L159" s="43">
        <f t="shared" si="60"/>
        <v>0.5887539466</v>
      </c>
      <c r="M159" s="43">
        <f t="shared" si="60"/>
        <v>0.3519499892</v>
      </c>
      <c r="N159" s="43">
        <f t="shared" si="60"/>
        <v>-0.6070276373</v>
      </c>
      <c r="O159" s="43">
        <f t="shared" si="60"/>
        <v>-0.4481867996</v>
      </c>
      <c r="P159" s="43">
        <f t="shared" si="60"/>
        <v>0.2105257526</v>
      </c>
      <c r="Q159" s="43">
        <f t="shared" si="60"/>
        <v>-1.084105101</v>
      </c>
      <c r="R159" s="43">
        <f t="shared" si="60"/>
        <v>-0.01181607835</v>
      </c>
      <c r="S159" s="44">
        <f t="shared" si="60"/>
        <v>0.218865598</v>
      </c>
      <c r="T159" s="2"/>
      <c r="U159" s="2"/>
      <c r="V159" s="2"/>
      <c r="W159" s="2"/>
      <c r="X159" s="2"/>
      <c r="Y159" s="2"/>
      <c r="Z159" s="2"/>
    </row>
    <row r="160">
      <c r="B160" s="1"/>
      <c r="C160" s="16">
        <v>-0.7665845544919894</v>
      </c>
      <c r="D160" s="15">
        <v>1.6293817989442831</v>
      </c>
      <c r="E160" s="15">
        <v>-0.22737147203507346</v>
      </c>
      <c r="F160" s="15">
        <v>-0.8606343279889649</v>
      </c>
      <c r="G160" s="17">
        <v>1.8299113131675568</v>
      </c>
      <c r="H160" s="2"/>
      <c r="I160" s="1"/>
      <c r="J160" s="42">
        <f t="shared" ref="J160:S160" si="61">NORMINV(rand(),0, sqrt(2/5))</f>
        <v>-0.3235598768</v>
      </c>
      <c r="K160" s="43">
        <f t="shared" si="61"/>
        <v>0.2766277714</v>
      </c>
      <c r="L160" s="43">
        <f t="shared" si="61"/>
        <v>1.01647256</v>
      </c>
      <c r="M160" s="43">
        <f t="shared" si="61"/>
        <v>0.1863609287</v>
      </c>
      <c r="N160" s="43">
        <f t="shared" si="61"/>
        <v>0.02494406369</v>
      </c>
      <c r="O160" s="43">
        <f t="shared" si="61"/>
        <v>-0.5719978419</v>
      </c>
      <c r="P160" s="43">
        <f t="shared" si="61"/>
        <v>0.5408890179</v>
      </c>
      <c r="Q160" s="43">
        <f t="shared" si="61"/>
        <v>0.4868397987</v>
      </c>
      <c r="R160" s="43">
        <f t="shared" si="61"/>
        <v>-0.2538373985</v>
      </c>
      <c r="S160" s="44">
        <f t="shared" si="61"/>
        <v>-0.2047816554</v>
      </c>
      <c r="T160" s="2"/>
      <c r="U160" s="2"/>
      <c r="V160" s="2"/>
      <c r="W160" s="2"/>
      <c r="X160" s="2"/>
      <c r="Y160" s="2"/>
      <c r="Z160" s="2"/>
    </row>
    <row r="161">
      <c r="B161" s="1"/>
      <c r="C161" s="16">
        <v>0.40629850003482965</v>
      </c>
      <c r="D161" s="15">
        <v>-1.447954499204799</v>
      </c>
      <c r="E161" s="15">
        <v>0.5067871978419971</v>
      </c>
      <c r="F161" s="15">
        <v>-0.30174923411207866</v>
      </c>
      <c r="G161" s="17">
        <v>-1.6001694708440832</v>
      </c>
      <c r="H161" s="159" t="s">
        <v>28</v>
      </c>
      <c r="I161" s="159" t="s">
        <v>28</v>
      </c>
      <c r="J161" s="42">
        <f t="shared" ref="J161:S161" si="62">NORMINV(rand(),0, sqrt(2/5))</f>
        <v>0.1322061916</v>
      </c>
      <c r="K161" s="43">
        <f t="shared" si="62"/>
        <v>-0.9078649551</v>
      </c>
      <c r="L161" s="43">
        <f t="shared" si="62"/>
        <v>-0.4322917955</v>
      </c>
      <c r="M161" s="43">
        <f t="shared" si="62"/>
        <v>-0.1802212886</v>
      </c>
      <c r="N161" s="43">
        <f t="shared" si="62"/>
        <v>0.24666935</v>
      </c>
      <c r="O161" s="43">
        <f t="shared" si="62"/>
        <v>0.8814646069</v>
      </c>
      <c r="P161" s="43">
        <f t="shared" si="62"/>
        <v>-1.469908636</v>
      </c>
      <c r="Q161" s="43">
        <f t="shared" si="62"/>
        <v>-0.6649078882</v>
      </c>
      <c r="R161" s="43">
        <f t="shared" si="62"/>
        <v>0.5788666471</v>
      </c>
      <c r="S161" s="44">
        <f t="shared" si="62"/>
        <v>-0.1427404924</v>
      </c>
      <c r="T161" s="2"/>
      <c r="U161" s="2"/>
      <c r="V161" s="2"/>
      <c r="W161" s="2"/>
      <c r="X161" s="2"/>
      <c r="Y161" s="2"/>
      <c r="Z161" s="2"/>
    </row>
    <row r="162">
      <c r="B162" s="1"/>
      <c r="C162" s="18">
        <v>-1.8065130678577228</v>
      </c>
      <c r="D162" s="19">
        <v>1.096854869173276</v>
      </c>
      <c r="E162" s="19">
        <v>0.11384290451140039</v>
      </c>
      <c r="F162" s="19">
        <v>0.4658005608424298</v>
      </c>
      <c r="G162" s="20">
        <v>0.7616132366404886</v>
      </c>
      <c r="H162" s="2"/>
      <c r="I162" s="1"/>
      <c r="J162" s="45">
        <f t="shared" ref="J162:S162" si="63">NORMINV(rand(),0, sqrt(2/5))</f>
        <v>-0.4991296149</v>
      </c>
      <c r="K162" s="46">
        <f t="shared" si="63"/>
        <v>-0.590287707</v>
      </c>
      <c r="L162" s="46">
        <f t="shared" si="63"/>
        <v>-0.1187917034</v>
      </c>
      <c r="M162" s="46">
        <f t="shared" si="63"/>
        <v>0.05416857768</v>
      </c>
      <c r="N162" s="46">
        <f t="shared" si="63"/>
        <v>1.321495048</v>
      </c>
      <c r="O162" s="46">
        <f t="shared" si="63"/>
        <v>-0.3856593038</v>
      </c>
      <c r="P162" s="46">
        <f t="shared" si="63"/>
        <v>-0.7175793911</v>
      </c>
      <c r="Q162" s="46">
        <f t="shared" si="63"/>
        <v>-0.2653017334</v>
      </c>
      <c r="R162" s="46">
        <f t="shared" si="63"/>
        <v>0.2209273278</v>
      </c>
      <c r="S162" s="47">
        <f t="shared" si="63"/>
        <v>0.7275946923</v>
      </c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4" t="s">
        <v>24</v>
      </c>
      <c r="F163" s="2"/>
      <c r="G163" s="2"/>
      <c r="H163" s="2"/>
      <c r="I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4" t="s">
        <v>24</v>
      </c>
      <c r="F164" s="2"/>
      <c r="G164" s="2"/>
      <c r="H164" s="2"/>
      <c r="I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22" t="s">
        <v>33</v>
      </c>
      <c r="C165" s="12">
        <f t="array" ref="C165:G169">C158:G162+C127:G131</f>
        <v>-1.658366546</v>
      </c>
      <c r="D165" s="13">
        <v>-5.297649580823469</v>
      </c>
      <c r="E165" s="13">
        <v>-0.3696722963464993</v>
      </c>
      <c r="F165" s="13">
        <v>-1.5096432358173661</v>
      </c>
      <c r="G165" s="14">
        <v>-5.303118875161484</v>
      </c>
      <c r="H165" s="2"/>
      <c r="I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22"/>
      <c r="C166" s="16">
        <v>-0.7355338574425421</v>
      </c>
      <c r="D166" s="15">
        <v>2.324252079961115</v>
      </c>
      <c r="E166" s="15">
        <v>-0.8462436474315009</v>
      </c>
      <c r="F166" s="15">
        <v>-1.195162556477836</v>
      </c>
      <c r="G166" s="17">
        <v>3.0113739689122316</v>
      </c>
      <c r="H166" s="2"/>
      <c r="I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16">
        <v>-0.09202328286070571</v>
      </c>
      <c r="D167" s="15">
        <v>2.0971498936611495</v>
      </c>
      <c r="E167" s="15">
        <v>-1.4384020082540336</v>
      </c>
      <c r="F167" s="15">
        <v>-0.9070298298646335</v>
      </c>
      <c r="G167" s="17">
        <v>2.8734524923337545</v>
      </c>
      <c r="H167" s="2"/>
      <c r="I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16">
        <v>-0.41075902501815437</v>
      </c>
      <c r="D168" s="15">
        <v>-0.31592499659911666</v>
      </c>
      <c r="E168" s="15">
        <v>-0.3287403076210381</v>
      </c>
      <c r="F168" s="15">
        <v>0.01693567077970115</v>
      </c>
      <c r="G168" s="17">
        <v>-1.328890009436644</v>
      </c>
      <c r="H168" s="2"/>
      <c r="I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22"/>
      <c r="C169" s="18">
        <v>-1.7829535434252866</v>
      </c>
      <c r="D169" s="19">
        <v>1.1177454276330727</v>
      </c>
      <c r="E169" s="19">
        <v>-0.21934666214393939</v>
      </c>
      <c r="F169" s="19">
        <v>1.2537704372035323</v>
      </c>
      <c r="G169" s="20">
        <v>0.3798113149334804</v>
      </c>
      <c r="H169" s="2"/>
      <c r="I169" s="165" t="s">
        <v>43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8" t="s">
        <v>34</v>
      </c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6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6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22" t="s">
        <v>4</v>
      </c>
      <c r="C174" s="39">
        <f t="shared" ref="C174:E174" si="64">NORMINV(rand(),0, sqrt(2/5))</f>
        <v>-0.01179417281</v>
      </c>
      <c r="D174" s="40">
        <f t="shared" si="64"/>
        <v>-0.5987240537</v>
      </c>
      <c r="E174" s="41">
        <f t="shared" si="64"/>
        <v>0.2198378387</v>
      </c>
      <c r="F174" s="43"/>
      <c r="G174" s="43"/>
      <c r="W174" s="43"/>
      <c r="X174" s="43"/>
      <c r="Y174" s="43"/>
      <c r="Z174" s="43"/>
    </row>
    <row r="175">
      <c r="B175" s="1"/>
      <c r="C175" s="42">
        <f t="shared" ref="C175:E175" si="65">NORMINV(rand(),0, sqrt(2/5))</f>
        <v>-0.2397925662</v>
      </c>
      <c r="D175" s="43">
        <f t="shared" si="65"/>
        <v>0.1295625476</v>
      </c>
      <c r="E175" s="44">
        <f t="shared" si="65"/>
        <v>-0.1308520263</v>
      </c>
      <c r="F175" s="43"/>
      <c r="G175" s="43"/>
      <c r="W175" s="43"/>
      <c r="X175" s="43"/>
      <c r="Y175" s="43"/>
      <c r="Z175" s="43"/>
    </row>
    <row r="176">
      <c r="B176" s="1"/>
      <c r="C176" s="45">
        <f t="shared" ref="C176:E176" si="66">NORMINV(rand(),0, sqrt(2/5))</f>
        <v>0.17551803</v>
      </c>
      <c r="D176" s="46">
        <f t="shared" si="66"/>
        <v>-0.8084266811</v>
      </c>
      <c r="E176" s="47">
        <f t="shared" si="66"/>
        <v>0.5313332812</v>
      </c>
      <c r="F176" s="43"/>
      <c r="G176" s="43"/>
      <c r="W176" s="43"/>
      <c r="X176" s="43"/>
      <c r="Y176" s="43"/>
      <c r="Z176" s="43"/>
    </row>
    <row r="177">
      <c r="D177" s="4" t="s">
        <v>24</v>
      </c>
      <c r="U177" s="43"/>
      <c r="V177" s="43"/>
      <c r="W177" s="43"/>
      <c r="X177" s="43"/>
      <c r="Y177" s="43"/>
      <c r="Z177" s="43"/>
    </row>
    <row r="178">
      <c r="C178" s="15"/>
      <c r="D178" s="4" t="s">
        <v>24</v>
      </c>
      <c r="E178" s="15"/>
      <c r="F178" s="15"/>
      <c r="G178" s="15"/>
      <c r="U178" s="43"/>
      <c r="V178" s="43"/>
      <c r="W178" s="43"/>
      <c r="X178" s="43"/>
      <c r="Y178" s="43"/>
      <c r="Z178" s="43"/>
    </row>
    <row r="179">
      <c r="B179" s="22" t="s">
        <v>35</v>
      </c>
      <c r="C179" s="12">
        <f t="array" ref="C179:E181">MMULT(O179:T181 ,MMULT(I179:K184,C174:E176))+C174:E176</f>
        <v>0.08655009867</v>
      </c>
      <c r="D179" s="13">
        <v>-0.1891873187942532</v>
      </c>
      <c r="E179" s="14">
        <v>0.28339729832928645</v>
      </c>
      <c r="F179" s="53" t="s">
        <v>28</v>
      </c>
      <c r="G179" s="53" t="s">
        <v>28</v>
      </c>
      <c r="H179" s="22" t="s">
        <v>26</v>
      </c>
      <c r="I179" s="39">
        <f t="shared" ref="I179:K179" si="67">NORMINV(rand(),0, sqrt(2/5))</f>
        <v>0.07130412194</v>
      </c>
      <c r="J179" s="40">
        <f t="shared" si="67"/>
        <v>0.1483860116</v>
      </c>
      <c r="K179" s="41">
        <f t="shared" si="67"/>
        <v>-0.2281832837</v>
      </c>
      <c r="N179" s="22" t="s">
        <v>30</v>
      </c>
      <c r="O179" s="39">
        <f t="shared" ref="O179:T179" si="68">NORMINV(rand(),0, sqrt(2/5))</f>
        <v>0.5132515735</v>
      </c>
      <c r="P179" s="40">
        <f t="shared" si="68"/>
        <v>-1.492004041</v>
      </c>
      <c r="Q179" s="40">
        <f t="shared" si="68"/>
        <v>0.1332230141</v>
      </c>
      <c r="R179" s="40">
        <f t="shared" si="68"/>
        <v>-0.9367409281</v>
      </c>
      <c r="S179" s="40">
        <f t="shared" si="68"/>
        <v>0.4885734631</v>
      </c>
      <c r="T179" s="41">
        <f t="shared" si="68"/>
        <v>-0.2537616274</v>
      </c>
      <c r="U179" s="2"/>
      <c r="V179" s="2"/>
      <c r="W179" s="2"/>
      <c r="X179" s="2"/>
      <c r="Y179" s="2"/>
      <c r="Z179" s="2"/>
    </row>
    <row r="180">
      <c r="B180" s="22" t="s">
        <v>36</v>
      </c>
      <c r="C180" s="16">
        <v>-0.43367040304798143</v>
      </c>
      <c r="D180" s="15">
        <v>-0.9217731808338201</v>
      </c>
      <c r="E180" s="17">
        <v>0.1063449525721688</v>
      </c>
      <c r="F180" s="15"/>
      <c r="G180" s="15"/>
      <c r="H180" s="22" t="s">
        <v>27</v>
      </c>
      <c r="I180" s="42">
        <f t="shared" ref="I180:K180" si="69">NORMINV(rand(),0, sqrt(2/5))</f>
        <v>1.062485256</v>
      </c>
      <c r="J180" s="43">
        <f t="shared" si="69"/>
        <v>-0.1526263455</v>
      </c>
      <c r="K180" s="44">
        <f t="shared" si="69"/>
        <v>-0.149257635</v>
      </c>
      <c r="N180" s="22" t="s">
        <v>32</v>
      </c>
      <c r="O180" s="42">
        <f t="shared" ref="O180:T180" si="70">NORMINV(rand(),0, sqrt(2/5))</f>
        <v>-0.9793642129</v>
      </c>
      <c r="P180" s="43">
        <f t="shared" si="70"/>
        <v>1.217254059</v>
      </c>
      <c r="Q180" s="43">
        <f t="shared" si="70"/>
        <v>0.4733580645</v>
      </c>
      <c r="R180" s="43">
        <f t="shared" si="70"/>
        <v>0.1063188403</v>
      </c>
      <c r="S180" s="43">
        <f t="shared" si="70"/>
        <v>-1.309457359</v>
      </c>
      <c r="T180" s="44">
        <f t="shared" si="70"/>
        <v>-0.5455668868</v>
      </c>
      <c r="U180" s="43"/>
      <c r="V180" s="43"/>
      <c r="W180" s="43"/>
      <c r="X180" s="2"/>
      <c r="Y180" s="2"/>
      <c r="Z180" s="2"/>
    </row>
    <row r="181">
      <c r="B181" s="164" t="s">
        <v>37</v>
      </c>
      <c r="C181" s="18">
        <v>0.3969809368422855</v>
      </c>
      <c r="D181" s="19">
        <v>-1.4104007781867325</v>
      </c>
      <c r="E181" s="20">
        <v>0.922832452522644</v>
      </c>
      <c r="F181" s="53"/>
      <c r="G181" s="53"/>
      <c r="H181" s="166"/>
      <c r="I181" s="42">
        <f t="shared" ref="I181:K181" si="71">NORMINV(rand(),0, sqrt(2/5))</f>
        <v>0.4882138812</v>
      </c>
      <c r="J181" s="43">
        <f t="shared" si="71"/>
        <v>0.4376333901</v>
      </c>
      <c r="K181" s="44">
        <f t="shared" si="71"/>
        <v>0.4111672105</v>
      </c>
      <c r="N181" s="1"/>
      <c r="O181" s="45">
        <f t="shared" ref="O181:T181" si="72">NORMINV(rand(),0, sqrt(2/5))</f>
        <v>0.9061288418</v>
      </c>
      <c r="P181" s="46">
        <f t="shared" si="72"/>
        <v>0.6851736548</v>
      </c>
      <c r="Q181" s="46">
        <f t="shared" si="72"/>
        <v>-0.01578267953</v>
      </c>
      <c r="R181" s="46">
        <f t="shared" si="72"/>
        <v>0.1092890261</v>
      </c>
      <c r="S181" s="46">
        <f t="shared" si="72"/>
        <v>0.97753773</v>
      </c>
      <c r="T181" s="47">
        <f t="shared" si="72"/>
        <v>1.207788848</v>
      </c>
      <c r="U181" s="43"/>
      <c r="V181" s="43"/>
      <c r="W181" s="43"/>
      <c r="X181" s="2"/>
      <c r="Y181" s="2"/>
      <c r="Z181" s="2"/>
    </row>
    <row r="182">
      <c r="F182" s="15"/>
      <c r="G182" s="15"/>
      <c r="H182" s="1"/>
      <c r="I182" s="42">
        <f t="shared" ref="I182:K182" si="73">NORMINV(rand(),0, sqrt(2/5))</f>
        <v>0.0624930774</v>
      </c>
      <c r="J182" s="43">
        <f t="shared" si="73"/>
        <v>-0.1725269509</v>
      </c>
      <c r="K182" s="44">
        <f t="shared" si="73"/>
        <v>-1.010302168</v>
      </c>
      <c r="M182" s="43"/>
      <c r="N182" s="43"/>
      <c r="O182" s="2"/>
      <c r="P182" s="159"/>
      <c r="Q182" s="43"/>
      <c r="R182" s="43"/>
      <c r="S182" s="43"/>
      <c r="T182" s="43"/>
      <c r="U182" s="43"/>
      <c r="V182" s="43"/>
      <c r="W182" s="43"/>
      <c r="X182" s="2"/>
      <c r="Y182" s="2"/>
      <c r="Z182" s="2"/>
    </row>
    <row r="183">
      <c r="F183" s="15"/>
      <c r="G183" s="15"/>
      <c r="H183" s="1"/>
      <c r="I183" s="42">
        <f t="shared" ref="I183:K183" si="74">NORMINV(rand(),0, sqrt(2/5))</f>
        <v>-0.9114802124</v>
      </c>
      <c r="J183" s="43">
        <f t="shared" si="74"/>
        <v>-0.222175779</v>
      </c>
      <c r="K183" s="44">
        <f t="shared" si="74"/>
        <v>0.2584487932</v>
      </c>
      <c r="M183" s="43"/>
      <c r="N183" s="43"/>
      <c r="O183" s="2"/>
      <c r="P183" s="1"/>
      <c r="Q183" s="43"/>
      <c r="R183" s="43"/>
      <c r="S183" s="43"/>
      <c r="T183" s="43"/>
      <c r="U183" s="43"/>
      <c r="V183" s="43"/>
      <c r="W183" s="43"/>
      <c r="X183" s="2"/>
      <c r="Y183" s="2"/>
      <c r="Z183" s="2"/>
    </row>
    <row r="184">
      <c r="F184" s="15"/>
      <c r="G184" s="15"/>
      <c r="H184" s="159"/>
      <c r="I184" s="45">
        <f t="shared" ref="I184:K184" si="75">NORMINV(rand(),0, sqrt(2/5))</f>
        <v>0.2196063724</v>
      </c>
      <c r="J184" s="46">
        <f t="shared" si="75"/>
        <v>-0.2706853326</v>
      </c>
      <c r="K184" s="47">
        <f t="shared" si="75"/>
        <v>0.5865819178</v>
      </c>
      <c r="M184" s="43"/>
      <c r="N184" s="43"/>
      <c r="O184" s="2"/>
      <c r="P184" s="2"/>
      <c r="Q184" s="2"/>
      <c r="R184" s="2"/>
      <c r="S184" s="2"/>
      <c r="T184" s="2"/>
      <c r="U184" s="43"/>
      <c r="V184" s="43"/>
      <c r="W184" s="43"/>
      <c r="X184" s="2"/>
      <c r="Y184" s="2"/>
      <c r="Z184" s="2"/>
    </row>
    <row r="185">
      <c r="U185" s="43"/>
      <c r="V185" s="43"/>
      <c r="W185" s="43"/>
      <c r="X185" s="43"/>
      <c r="Y185" s="43"/>
      <c r="Z185" s="43"/>
    </row>
    <row r="186">
      <c r="A186" s="158" t="s">
        <v>42</v>
      </c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22" t="s">
        <v>4</v>
      </c>
      <c r="C188" s="39">
        <f t="shared" ref="C188:E188" si="76">NORMINV(rand(),0, sqrt(2/5))</f>
        <v>-1.072331226</v>
      </c>
      <c r="D188" s="40">
        <f t="shared" si="76"/>
        <v>0.2832294373</v>
      </c>
      <c r="E188" s="41">
        <f t="shared" si="76"/>
        <v>-0.1283100024</v>
      </c>
      <c r="F188" s="43"/>
      <c r="G188" s="43"/>
      <c r="U188" s="2"/>
      <c r="V188" s="2"/>
      <c r="W188" s="2"/>
      <c r="X188" s="2"/>
      <c r="Y188" s="2"/>
      <c r="Z188" s="2"/>
    </row>
    <row r="189">
      <c r="B189" s="1"/>
      <c r="C189" s="42">
        <f t="shared" ref="C189:E189" si="77">NORMINV(rand(),0, sqrt(2/5))</f>
        <v>-0.8328031939</v>
      </c>
      <c r="D189" s="43">
        <f t="shared" si="77"/>
        <v>0.0655224801</v>
      </c>
      <c r="E189" s="44">
        <f t="shared" si="77"/>
        <v>1.052435818</v>
      </c>
      <c r="F189" s="43"/>
      <c r="G189" s="43"/>
      <c r="U189" s="2"/>
      <c r="V189" s="2"/>
      <c r="W189" s="2"/>
      <c r="X189" s="2"/>
      <c r="Y189" s="2"/>
      <c r="Z189" s="2"/>
    </row>
    <row r="190">
      <c r="B190" s="1"/>
      <c r="C190" s="45">
        <f t="shared" ref="C190:E190" si="78">NORMINV(rand(),0, sqrt(2/5))</f>
        <v>-0.6255770328</v>
      </c>
      <c r="D190" s="46">
        <f t="shared" si="78"/>
        <v>-0.2123353892</v>
      </c>
      <c r="E190" s="47">
        <f t="shared" si="78"/>
        <v>-0.2178654597</v>
      </c>
      <c r="F190" s="43"/>
      <c r="G190" s="43"/>
      <c r="W190" s="43"/>
      <c r="X190" s="43"/>
      <c r="Y190" s="43"/>
      <c r="Z190" s="43"/>
    </row>
    <row r="191">
      <c r="D191" s="4" t="s">
        <v>24</v>
      </c>
      <c r="W191" s="43"/>
      <c r="X191" s="43"/>
      <c r="Y191" s="43"/>
      <c r="Z191" s="43"/>
    </row>
    <row r="192">
      <c r="C192" s="15"/>
      <c r="D192" s="4" t="s">
        <v>24</v>
      </c>
      <c r="E192" s="15"/>
      <c r="F192" s="15"/>
      <c r="G192" s="15"/>
      <c r="W192" s="43"/>
      <c r="X192" s="43"/>
      <c r="Y192" s="43"/>
      <c r="Z192" s="43"/>
    </row>
    <row r="193">
      <c r="B193" s="22" t="s">
        <v>35</v>
      </c>
      <c r="C193" s="12">
        <f t="array" ref="C193:E195">MMULT(O193:T195 ,MMULT(I193:K198,C188:E190))+C188:E190</f>
        <v>-4.124095299</v>
      </c>
      <c r="D193" s="13">
        <v>0.7519842985130347</v>
      </c>
      <c r="E193" s="14">
        <v>1.3077040775864313</v>
      </c>
      <c r="F193" s="53" t="s">
        <v>28</v>
      </c>
      <c r="G193" s="53" t="s">
        <v>28</v>
      </c>
      <c r="H193" s="22" t="s">
        <v>26</v>
      </c>
      <c r="I193" s="39">
        <f t="shared" ref="I193:K193" si="79">NORMINV(rand(),0, sqrt(2/5))</f>
        <v>1.115836906</v>
      </c>
      <c r="J193" s="40">
        <f t="shared" si="79"/>
        <v>0.863919596</v>
      </c>
      <c r="K193" s="41">
        <f t="shared" si="79"/>
        <v>-0.583084652</v>
      </c>
      <c r="N193" s="22" t="s">
        <v>30</v>
      </c>
      <c r="O193" s="39">
        <f t="shared" ref="O193:T193" si="80">NORMINV(rand(),0, sqrt(2/5))</f>
        <v>0.6783551387</v>
      </c>
      <c r="P193" s="40">
        <f t="shared" si="80"/>
        <v>0.227636587</v>
      </c>
      <c r="Q193" s="40">
        <f t="shared" si="80"/>
        <v>-0.1272271869</v>
      </c>
      <c r="R193" s="40">
        <f t="shared" si="80"/>
        <v>-0.1479641544</v>
      </c>
      <c r="S193" s="40">
        <f t="shared" si="80"/>
        <v>0.4079299621</v>
      </c>
      <c r="T193" s="41">
        <f t="shared" si="80"/>
        <v>1.593802787</v>
      </c>
      <c r="U193" s="43"/>
      <c r="V193" s="43"/>
      <c r="W193" s="43"/>
      <c r="X193" s="43"/>
      <c r="Y193" s="43"/>
      <c r="Z193" s="43"/>
    </row>
    <row r="194">
      <c r="B194" s="22" t="s">
        <v>36</v>
      </c>
      <c r="C194" s="16">
        <v>-0.32153768750737155</v>
      </c>
      <c r="D194" s="15">
        <v>0.3804645737771313</v>
      </c>
      <c r="E194" s="17">
        <v>1.126995447365097</v>
      </c>
      <c r="F194" s="15"/>
      <c r="G194" s="15"/>
      <c r="H194" s="22" t="s">
        <v>27</v>
      </c>
      <c r="I194" s="42">
        <f t="shared" ref="I194:K194" si="81">NORMINV(rand(),0, sqrt(2/5))</f>
        <v>-0.4861442765</v>
      </c>
      <c r="J194" s="43">
        <f t="shared" si="81"/>
        <v>-0.1318830814</v>
      </c>
      <c r="K194" s="44">
        <f t="shared" si="81"/>
        <v>-0.08443241529</v>
      </c>
      <c r="N194" s="22" t="s">
        <v>32</v>
      </c>
      <c r="O194" s="42">
        <f t="shared" ref="O194:T194" si="82">NORMINV(rand(),0, sqrt(2/5))</f>
        <v>0.8203750788</v>
      </c>
      <c r="P194" s="43">
        <f t="shared" si="82"/>
        <v>-0.2963069843</v>
      </c>
      <c r="Q194" s="43">
        <f t="shared" si="82"/>
        <v>1.458930666</v>
      </c>
      <c r="R194" s="43">
        <f t="shared" si="82"/>
        <v>-0.1339940801</v>
      </c>
      <c r="S194" s="43">
        <f t="shared" si="82"/>
        <v>-0.3724503854</v>
      </c>
      <c r="T194" s="44">
        <f t="shared" si="82"/>
        <v>-0.07267647554</v>
      </c>
      <c r="U194" s="43"/>
      <c r="V194" s="43"/>
      <c r="W194" s="43"/>
      <c r="X194" s="43"/>
      <c r="Y194" s="43"/>
      <c r="Z194" s="43"/>
    </row>
    <row r="195">
      <c r="B195" s="164" t="s">
        <v>37</v>
      </c>
      <c r="C195" s="18">
        <v>-0.7579951683360745</v>
      </c>
      <c r="D195" s="19">
        <v>-0.001843480067600517</v>
      </c>
      <c r="E195" s="20">
        <v>0.36009710920592514</v>
      </c>
      <c r="F195" s="15"/>
      <c r="G195" s="15"/>
      <c r="H195" s="1"/>
      <c r="I195" s="42">
        <f t="shared" ref="I195:K195" si="83">NORMINV(rand(),0, sqrt(2/5))</f>
        <v>-0.3213375592</v>
      </c>
      <c r="J195" s="43">
        <f t="shared" si="83"/>
        <v>-0.6305412284</v>
      </c>
      <c r="K195" s="44">
        <f t="shared" si="83"/>
        <v>-0.4086288147</v>
      </c>
      <c r="N195" s="1"/>
      <c r="O195" s="45">
        <f t="shared" ref="O195:T195" si="84">NORMINV(rand(),0, sqrt(2/5))</f>
        <v>0.5476794534</v>
      </c>
      <c r="P195" s="46">
        <f t="shared" si="84"/>
        <v>0.3440445164</v>
      </c>
      <c r="Q195" s="46">
        <f t="shared" si="84"/>
        <v>0.09721995219</v>
      </c>
      <c r="R195" s="46">
        <f t="shared" si="84"/>
        <v>0.156295728</v>
      </c>
      <c r="S195" s="46">
        <f t="shared" si="84"/>
        <v>-0.7246139041</v>
      </c>
      <c r="T195" s="47">
        <f t="shared" si="84"/>
        <v>-0.1827059783</v>
      </c>
      <c r="U195" s="2"/>
      <c r="V195" s="2"/>
      <c r="W195" s="2"/>
      <c r="X195" s="2"/>
      <c r="Y195" s="2"/>
      <c r="Z195" s="2"/>
    </row>
    <row r="196">
      <c r="D196" s="4" t="s">
        <v>24</v>
      </c>
      <c r="F196" s="15"/>
      <c r="G196" s="15"/>
      <c r="H196" s="1"/>
      <c r="I196" s="42">
        <f t="shared" ref="I196:K196" si="85">NORMINV(rand(),0, sqrt(2/5))</f>
        <v>0.8514682264</v>
      </c>
      <c r="J196" s="43">
        <f t="shared" si="85"/>
        <v>0.03442927541</v>
      </c>
      <c r="K196" s="44">
        <f t="shared" si="85"/>
        <v>-0.1650532017</v>
      </c>
      <c r="M196" s="43"/>
      <c r="N196" s="43"/>
      <c r="O196" s="2"/>
      <c r="P196" s="159"/>
      <c r="Q196" s="43"/>
      <c r="R196" s="43"/>
      <c r="S196" s="43"/>
      <c r="T196" s="43"/>
      <c r="U196" s="43"/>
      <c r="V196" s="43"/>
      <c r="W196" s="43"/>
      <c r="X196" s="2"/>
      <c r="Y196" s="2"/>
      <c r="Z196" s="2"/>
    </row>
    <row r="197">
      <c r="D197" s="4" t="s">
        <v>24</v>
      </c>
      <c r="F197" s="15"/>
      <c r="G197" s="15"/>
      <c r="H197" s="1"/>
      <c r="I197" s="42">
        <f t="shared" ref="I197:K197" si="86">NORMINV(rand(),0, sqrt(2/5))</f>
        <v>0.4152502014</v>
      </c>
      <c r="J197" s="43">
        <f t="shared" si="86"/>
        <v>-0.2567610713</v>
      </c>
      <c r="K197" s="44">
        <f t="shared" si="86"/>
        <v>0.2399479674</v>
      </c>
      <c r="M197" s="43"/>
      <c r="N197" s="43"/>
      <c r="O197" s="2"/>
      <c r="P197" s="1"/>
      <c r="Q197" s="43"/>
      <c r="R197" s="43"/>
      <c r="S197" s="43"/>
      <c r="T197" s="43"/>
      <c r="U197" s="43"/>
      <c r="V197" s="43"/>
      <c r="W197" s="43"/>
      <c r="X197" s="2"/>
      <c r="Y197" s="2"/>
      <c r="Z197" s="2"/>
    </row>
    <row r="198">
      <c r="D198" s="4" t="s">
        <v>24</v>
      </c>
      <c r="F198" s="15"/>
      <c r="G198" s="15"/>
      <c r="H198" s="159"/>
      <c r="I198" s="45">
        <f t="shared" ref="I198:K198" si="87">NORMINV(rand(),0, sqrt(2/5))</f>
        <v>0.462391577</v>
      </c>
      <c r="J198" s="46">
        <f t="shared" si="87"/>
        <v>0.6694550826</v>
      </c>
      <c r="K198" s="47">
        <f t="shared" si="87"/>
        <v>0.302440374</v>
      </c>
      <c r="M198" s="43"/>
      <c r="N198" s="43"/>
      <c r="O198" s="2"/>
      <c r="P198" s="2"/>
      <c r="Q198" s="2"/>
      <c r="R198" s="2"/>
      <c r="S198" s="2"/>
      <c r="T198" s="2"/>
      <c r="U198" s="43"/>
      <c r="V198" s="43"/>
      <c r="W198" s="43"/>
      <c r="X198" s="2"/>
      <c r="Y198" s="2"/>
      <c r="Z198" s="2"/>
    </row>
    <row r="199">
      <c r="D199" s="4" t="s">
        <v>24</v>
      </c>
      <c r="W199" s="43"/>
      <c r="X199" s="43"/>
      <c r="Y199" s="43"/>
      <c r="Z199" s="43"/>
    </row>
    <row r="200">
      <c r="D200" s="4" t="s">
        <v>24</v>
      </c>
      <c r="W200" s="43"/>
      <c r="X200" s="43"/>
      <c r="Y200" s="43"/>
      <c r="Z200" s="43"/>
    </row>
    <row r="201">
      <c r="B201" s="22" t="s">
        <v>39</v>
      </c>
      <c r="C201" s="167" t="s">
        <v>44</v>
      </c>
      <c r="D201" s="13"/>
      <c r="E201" s="14"/>
      <c r="W201" s="43"/>
      <c r="X201" s="43"/>
      <c r="Y201" s="43"/>
      <c r="Z201" s="43"/>
    </row>
    <row r="202">
      <c r="C202" s="16"/>
      <c r="D202" s="15"/>
      <c r="E202" s="17"/>
      <c r="W202" s="43"/>
      <c r="X202" s="43"/>
      <c r="Y202" s="43"/>
      <c r="Z202" s="43"/>
    </row>
    <row r="203">
      <c r="C203" s="18"/>
      <c r="D203" s="19"/>
      <c r="E203" s="20"/>
      <c r="W203" s="43"/>
      <c r="X203" s="43"/>
      <c r="Y203" s="43"/>
      <c r="Z203" s="43"/>
    </row>
    <row r="204">
      <c r="F204" s="15"/>
      <c r="G204" s="15"/>
      <c r="H204" s="1"/>
      <c r="I204" s="43"/>
      <c r="J204" s="43"/>
      <c r="K204" s="43"/>
      <c r="M204" s="43"/>
      <c r="N204" s="43"/>
      <c r="O204" s="2"/>
      <c r="P204" s="1"/>
      <c r="Q204" s="43"/>
      <c r="R204" s="43"/>
      <c r="S204" s="43"/>
      <c r="T204" s="43"/>
      <c r="U204" s="43"/>
      <c r="V204" s="43"/>
      <c r="W204" s="43"/>
      <c r="X204" s="2"/>
      <c r="Y204" s="2"/>
      <c r="Z204" s="2"/>
    </row>
    <row r="205">
      <c r="A205" s="158" t="s">
        <v>38</v>
      </c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22" t="s">
        <v>4</v>
      </c>
      <c r="C207" s="39">
        <f t="shared" ref="C207:E207" si="88">NORMINV(rand(),0, sqrt(2/5))</f>
        <v>-0.4519259224</v>
      </c>
      <c r="D207" s="40">
        <f t="shared" si="88"/>
        <v>0.0072150781</v>
      </c>
      <c r="E207" s="41">
        <f t="shared" si="88"/>
        <v>0.6345463053</v>
      </c>
      <c r="F207" s="43"/>
      <c r="G207" s="43"/>
      <c r="U207" s="2"/>
      <c r="V207" s="2"/>
      <c r="W207" s="2"/>
      <c r="X207" s="2"/>
      <c r="Y207" s="2"/>
      <c r="Z207" s="2"/>
    </row>
    <row r="208">
      <c r="B208" s="1"/>
      <c r="C208" s="42">
        <f t="shared" ref="C208:E208" si="89">NORMINV(rand(),0, sqrt(2/5))</f>
        <v>0.1233172184</v>
      </c>
      <c r="D208" s="43">
        <f t="shared" si="89"/>
        <v>-0.2556417219</v>
      </c>
      <c r="E208" s="44">
        <f t="shared" si="89"/>
        <v>-0.1461629548</v>
      </c>
      <c r="F208" s="43"/>
      <c r="G208" s="43"/>
      <c r="U208" s="2"/>
      <c r="V208" s="2"/>
      <c r="W208" s="2"/>
      <c r="X208" s="2"/>
      <c r="Y208" s="2"/>
      <c r="Z208" s="2"/>
    </row>
    <row r="209">
      <c r="B209" s="1"/>
      <c r="C209" s="45">
        <f t="shared" ref="C209:E209" si="90">NORMINV(rand(),0, sqrt(2/5))</f>
        <v>-0.2615988848</v>
      </c>
      <c r="D209" s="46">
        <f t="shared" si="90"/>
        <v>-0.1628539765</v>
      </c>
      <c r="E209" s="47">
        <f t="shared" si="90"/>
        <v>0.05833984116</v>
      </c>
      <c r="F209" s="43"/>
      <c r="G209" s="43"/>
      <c r="W209" s="43"/>
      <c r="X209" s="43"/>
      <c r="Y209" s="43"/>
      <c r="Z209" s="43"/>
    </row>
    <row r="210">
      <c r="D210" s="4" t="s">
        <v>24</v>
      </c>
      <c r="W210" s="43"/>
      <c r="X210" s="43"/>
      <c r="Y210" s="43"/>
      <c r="Z210" s="43"/>
    </row>
    <row r="211">
      <c r="D211" s="4" t="s">
        <v>24</v>
      </c>
      <c r="W211" s="43"/>
      <c r="X211" s="43"/>
      <c r="Y211" s="43"/>
      <c r="Z211" s="43"/>
    </row>
    <row r="212">
      <c r="B212" s="22" t="s">
        <v>39</v>
      </c>
      <c r="C212" s="167" t="s">
        <v>45</v>
      </c>
      <c r="D212" s="13"/>
      <c r="E212" s="14"/>
      <c r="W212" s="43"/>
      <c r="X212" s="43"/>
      <c r="Y212" s="43"/>
      <c r="Z212" s="43"/>
    </row>
    <row r="213">
      <c r="C213" s="16"/>
      <c r="D213" s="15"/>
      <c r="E213" s="17"/>
      <c r="W213" s="43"/>
      <c r="X213" s="43"/>
      <c r="Y213" s="43"/>
      <c r="Z213" s="43"/>
    </row>
    <row r="214">
      <c r="C214" s="18"/>
      <c r="D214" s="19"/>
      <c r="E214" s="20"/>
      <c r="W214" s="43"/>
      <c r="X214" s="43"/>
      <c r="Y214" s="43"/>
      <c r="Z214" s="43"/>
    </row>
    <row r="215">
      <c r="D215" s="4" t="s">
        <v>24</v>
      </c>
      <c r="W215" s="43"/>
      <c r="X215" s="43"/>
      <c r="Y215" s="43"/>
      <c r="Z215" s="43"/>
    </row>
    <row r="216">
      <c r="C216" s="15"/>
      <c r="D216" s="4" t="s">
        <v>24</v>
      </c>
      <c r="E216" s="15"/>
      <c r="F216" s="15"/>
      <c r="G216" s="15"/>
      <c r="W216" s="43"/>
      <c r="X216" s="43"/>
      <c r="Y216" s="43"/>
      <c r="Z216" s="43"/>
    </row>
    <row r="217">
      <c r="B217" s="22" t="s">
        <v>40</v>
      </c>
      <c r="C217" s="12" t="str">
        <f t="array" ref="C217:E219">MMULT(O217:T219 ,MMULT(I217:K222,C212:E214))+C207:E209</f>
        <v>#VALUE!</v>
      </c>
      <c r="D217" s="13" t="e">
        <v>#VALUE!</v>
      </c>
      <c r="E217" s="14" t="e">
        <v>#VALUE!</v>
      </c>
      <c r="F217" s="15"/>
      <c r="G217" s="15"/>
      <c r="H217" s="22" t="s">
        <v>26</v>
      </c>
      <c r="I217" s="39">
        <f t="shared" ref="I217:K217" si="91">NORMINV(rand(),0, sqrt(2/5))</f>
        <v>-1.233412037</v>
      </c>
      <c r="J217" s="40">
        <f t="shared" si="91"/>
        <v>-0.7974940139</v>
      </c>
      <c r="K217" s="41">
        <f t="shared" si="91"/>
        <v>-0.368431984</v>
      </c>
      <c r="N217" s="22" t="s">
        <v>30</v>
      </c>
      <c r="O217" s="39">
        <f t="shared" ref="O217:T217" si="92">NORMINV(rand(),0, sqrt(2/5))</f>
        <v>0.724677861</v>
      </c>
      <c r="P217" s="40">
        <f t="shared" si="92"/>
        <v>-0.4703193019</v>
      </c>
      <c r="Q217" s="40">
        <f t="shared" si="92"/>
        <v>0.05092293547</v>
      </c>
      <c r="R217" s="40">
        <f t="shared" si="92"/>
        <v>0.1567450166</v>
      </c>
      <c r="S217" s="40">
        <f t="shared" si="92"/>
        <v>-1.577962315</v>
      </c>
      <c r="T217" s="41">
        <f t="shared" si="92"/>
        <v>0.05714632322</v>
      </c>
      <c r="U217" s="43"/>
      <c r="V217" s="43"/>
      <c r="W217" s="43"/>
      <c r="X217" s="43"/>
      <c r="Y217" s="43"/>
      <c r="Z217" s="43"/>
    </row>
    <row r="218">
      <c r="B218" s="22" t="s">
        <v>41</v>
      </c>
      <c r="C218" s="16" t="e">
        <v>#VALUE!</v>
      </c>
      <c r="D218" s="15" t="e">
        <v>#VALUE!</v>
      </c>
      <c r="E218" s="17" t="e">
        <v>#VALUE!</v>
      </c>
      <c r="F218" s="15"/>
      <c r="G218" s="15"/>
      <c r="H218" s="22" t="s">
        <v>27</v>
      </c>
      <c r="I218" s="42">
        <f t="shared" ref="I218:K218" si="93">NORMINV(rand(),0, sqrt(2/5))</f>
        <v>-0.4570005013</v>
      </c>
      <c r="J218" s="43">
        <f t="shared" si="93"/>
        <v>-0.04143043833</v>
      </c>
      <c r="K218" s="44">
        <f t="shared" si="93"/>
        <v>0.4875377183</v>
      </c>
      <c r="N218" s="22" t="s">
        <v>32</v>
      </c>
      <c r="O218" s="42">
        <f t="shared" ref="O218:T218" si="94">NORMINV(rand(),0, sqrt(2/5))</f>
        <v>0.1487570778</v>
      </c>
      <c r="P218" s="43">
        <f t="shared" si="94"/>
        <v>-0.03550394524</v>
      </c>
      <c r="Q218" s="43">
        <f t="shared" si="94"/>
        <v>-2.002543036</v>
      </c>
      <c r="R218" s="43">
        <f t="shared" si="94"/>
        <v>0.2198806077</v>
      </c>
      <c r="S218" s="43">
        <f t="shared" si="94"/>
        <v>0.9998045182</v>
      </c>
      <c r="T218" s="44">
        <f t="shared" si="94"/>
        <v>0.3026195954</v>
      </c>
      <c r="U218" s="43"/>
      <c r="V218" s="43"/>
      <c r="W218" s="43"/>
      <c r="X218" s="43"/>
      <c r="Y218" s="43"/>
      <c r="Z218" s="43"/>
    </row>
    <row r="219">
      <c r="B219" s="164" t="s">
        <v>37</v>
      </c>
      <c r="C219" s="18" t="e">
        <v>#VALUE!</v>
      </c>
      <c r="D219" s="19" t="e">
        <v>#VALUE!</v>
      </c>
      <c r="E219" s="20" t="e">
        <v>#VALUE!</v>
      </c>
      <c r="F219" s="15"/>
      <c r="G219" s="15"/>
      <c r="H219" s="1"/>
      <c r="I219" s="42">
        <f t="shared" ref="I219:K219" si="95">NORMINV(rand(),0, sqrt(2/5))</f>
        <v>-0.4674449157</v>
      </c>
      <c r="J219" s="43">
        <f t="shared" si="95"/>
        <v>0.1804978544</v>
      </c>
      <c r="K219" s="44">
        <f t="shared" si="95"/>
        <v>-0.8031618323</v>
      </c>
      <c r="N219" s="1"/>
      <c r="O219" s="45">
        <f t="shared" ref="O219:T219" si="96">NORMINV(rand(),0, sqrt(2/5))</f>
        <v>-0.4803304293</v>
      </c>
      <c r="P219" s="46">
        <f t="shared" si="96"/>
        <v>-0.1027185199</v>
      </c>
      <c r="Q219" s="46">
        <f t="shared" si="96"/>
        <v>0.9518544644</v>
      </c>
      <c r="R219" s="46">
        <f t="shared" si="96"/>
        <v>-0.1005267091</v>
      </c>
      <c r="S219" s="46">
        <f t="shared" si="96"/>
        <v>-1.098145343</v>
      </c>
      <c r="T219" s="47">
        <f t="shared" si="96"/>
        <v>-0.9395655593</v>
      </c>
      <c r="U219" s="2"/>
      <c r="V219" s="2"/>
      <c r="W219" s="2"/>
      <c r="X219" s="2"/>
      <c r="Y219" s="2"/>
      <c r="Z219" s="2"/>
    </row>
    <row r="220">
      <c r="F220" s="15"/>
      <c r="G220" s="15"/>
      <c r="H220" s="1"/>
      <c r="I220" s="42">
        <f t="shared" ref="I220:K220" si="97">NORMINV(rand(),0, sqrt(2/5))</f>
        <v>0.665716099</v>
      </c>
      <c r="J220" s="43">
        <f t="shared" si="97"/>
        <v>-0.3825176502</v>
      </c>
      <c r="K220" s="44">
        <f t="shared" si="97"/>
        <v>1.057656372</v>
      </c>
      <c r="M220" s="43"/>
      <c r="N220" s="43"/>
      <c r="O220" s="2"/>
      <c r="P220" s="159"/>
      <c r="Q220" s="43"/>
      <c r="R220" s="43"/>
      <c r="S220" s="43"/>
      <c r="T220" s="43"/>
      <c r="U220" s="43"/>
      <c r="V220" s="43"/>
      <c r="W220" s="43"/>
      <c r="X220" s="2"/>
      <c r="Y220" s="2"/>
      <c r="Z220" s="2"/>
    </row>
    <row r="221">
      <c r="F221" s="15"/>
      <c r="G221" s="15"/>
      <c r="H221" s="1"/>
      <c r="I221" s="42">
        <f t="shared" ref="I221:K221" si="98">NORMINV(rand(),0, sqrt(2/5))</f>
        <v>0.3063168455</v>
      </c>
      <c r="J221" s="43">
        <f t="shared" si="98"/>
        <v>-0.03391109681</v>
      </c>
      <c r="K221" s="44">
        <f t="shared" si="98"/>
        <v>-1.508600769</v>
      </c>
      <c r="M221" s="43"/>
      <c r="N221" s="43"/>
      <c r="O221" s="2"/>
      <c r="P221" s="1"/>
      <c r="Q221" s="43"/>
      <c r="R221" s="43"/>
      <c r="S221" s="43"/>
      <c r="T221" s="43"/>
      <c r="U221" s="43"/>
      <c r="V221" s="43"/>
      <c r="W221" s="43"/>
      <c r="X221" s="2"/>
      <c r="Y221" s="2"/>
      <c r="Z221" s="2"/>
    </row>
    <row r="222">
      <c r="F222" s="15"/>
      <c r="G222" s="15"/>
      <c r="H222" s="159"/>
      <c r="I222" s="45">
        <f t="shared" ref="I222:K222" si="99">NORMINV(rand(),0, sqrt(2/5))</f>
        <v>0.1394315066</v>
      </c>
      <c r="J222" s="46">
        <f t="shared" si="99"/>
        <v>0.02840678535</v>
      </c>
      <c r="K222" s="47">
        <f t="shared" si="99"/>
        <v>-1.107055567</v>
      </c>
      <c r="M222" s="43"/>
      <c r="N222" s="43"/>
      <c r="O222" s="2"/>
      <c r="P222" s="2"/>
      <c r="Q222" s="2"/>
      <c r="R222" s="2"/>
      <c r="S222" s="2"/>
      <c r="T222" s="2"/>
      <c r="U222" s="43"/>
      <c r="V222" s="43"/>
      <c r="W222" s="43"/>
      <c r="X222" s="2"/>
      <c r="Y222" s="2"/>
      <c r="Z222" s="2"/>
    </row>
    <row r="223">
      <c r="F223" s="15"/>
      <c r="G223" s="15"/>
      <c r="H223" s="1"/>
      <c r="I223" s="43"/>
      <c r="J223" s="43"/>
      <c r="K223" s="43"/>
      <c r="M223" s="43"/>
      <c r="N223" s="43"/>
      <c r="O223" s="2"/>
      <c r="P223" s="1"/>
      <c r="Q223" s="43"/>
      <c r="R223" s="43"/>
      <c r="S223" s="43"/>
      <c r="T223" s="43"/>
      <c r="U223" s="43"/>
      <c r="V223" s="43"/>
      <c r="W223" s="43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B1145" s="1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B1146" s="1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B1147" s="1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B1148" s="1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</sheetData>
  <mergeCells count="20">
    <mergeCell ref="A2:Z2"/>
    <mergeCell ref="G9:J9"/>
    <mergeCell ref="A18:D18"/>
    <mergeCell ref="G18:H18"/>
    <mergeCell ref="A27:D28"/>
    <mergeCell ref="A37:Z37"/>
    <mergeCell ref="H51:K52"/>
    <mergeCell ref="B99:E100"/>
    <mergeCell ref="A108:Z108"/>
    <mergeCell ref="A125:Z125"/>
    <mergeCell ref="A171:Z171"/>
    <mergeCell ref="A186:Z186"/>
    <mergeCell ref="A205:Z205"/>
    <mergeCell ref="A55:D55"/>
    <mergeCell ref="G55:H55"/>
    <mergeCell ref="A64:D65"/>
    <mergeCell ref="A74:Z74"/>
    <mergeCell ref="G81:J81"/>
    <mergeCell ref="B90:E90"/>
    <mergeCell ref="H90:I90"/>
  </mergeCells>
  <conditionalFormatting sqref="C127:G131 N133:N170 O133:S162 T133:W158 J134:M143 J157:M170 J172:N185 C174:G179 I174:I185 O174:T185 U174:Z178 U180:W185 X185:Z185 I187:T204 U187:Z194 C188:G195 U196:W204 D198:D203 C199:C203 E199:G203 X199:Z203 I206:T223 U206:Z218 C207:G219 U220:W22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4:G143 C177:G185 C187:G187 C189:G204 C206:G206 C208:G22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58:G162 D177:D178 C189:G192 C195:G204 C208:G216 C219:G22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5:G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:G15 D81:H82 C110:G114">
    <cfRule type="colorScale" priority="5">
      <colorScale>
        <cfvo type="min"/>
        <cfvo type="max"/>
        <color rgb="FFFFFFFF"/>
        <color rgb="FF57BB8A"/>
      </colorScale>
    </cfRule>
  </conditionalFormatting>
  <conditionalFormatting sqref="C30:G34 D102:H10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0:G2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7:G61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7:G71">
    <cfRule type="colorScale" priority="9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D92:H96">
    <cfRule type="colorScale" priority="10">
      <colorScale>
        <cfvo type="min"/>
        <cfvo type="max"/>
        <color rgb="FFFFFFFF"/>
        <color rgb="FF57BB8A"/>
      </colorScale>
    </cfRule>
  </conditionalFormatting>
  <conditionalFormatting sqref="C117:G121">
    <cfRule type="colorScale" priority="11">
      <colorScale>
        <cfvo type="min"/>
        <cfvo type="max"/>
        <color rgb="FFFFFFFF"/>
        <color rgb="FF57BB8A"/>
      </colorScale>
    </cfRule>
  </conditionalFormatting>
  <conditionalFormatting sqref="I117:M121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46:G155">
    <cfRule type="colorScale" priority="13">
      <colorScale>
        <cfvo type="min"/>
        <cfvo type="max"/>
        <color rgb="FFFFFFFF"/>
        <color rgb="FF57BB8A"/>
      </colorScale>
    </cfRule>
  </conditionalFormatting>
  <conditionalFormatting sqref="O117:S121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88"/>
    <col customWidth="1" min="3" max="3" width="6.0"/>
    <col customWidth="1" min="4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5"/>
      <c r="T3" s="6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K4" s="2"/>
      <c r="L4" s="2"/>
      <c r="M4" s="2"/>
      <c r="N4" s="2"/>
      <c r="O4" s="2"/>
      <c r="P4" s="2"/>
      <c r="Q4" s="2"/>
      <c r="R4" s="2"/>
      <c r="S4" s="5"/>
      <c r="T4" s="6"/>
      <c r="U4" s="2"/>
      <c r="V4" s="2"/>
      <c r="W4" s="2"/>
      <c r="X4" s="2"/>
      <c r="Y4" s="2"/>
      <c r="Z4" s="2"/>
    </row>
    <row r="5">
      <c r="K5" s="2"/>
      <c r="L5" s="2"/>
      <c r="M5" s="2"/>
      <c r="N5" s="2"/>
      <c r="O5" s="2"/>
      <c r="P5" s="2"/>
      <c r="Q5" s="2"/>
      <c r="R5" s="2"/>
      <c r="S5" s="5"/>
      <c r="T5" s="6"/>
      <c r="U5" s="2"/>
      <c r="V5" s="2"/>
      <c r="W5" s="2"/>
      <c r="X5" s="2"/>
      <c r="Y5" s="2"/>
      <c r="Z5" s="2"/>
    </row>
    <row r="6">
      <c r="K6" s="2"/>
      <c r="L6" s="2"/>
      <c r="M6" s="2"/>
      <c r="N6" s="2"/>
      <c r="O6" s="2"/>
      <c r="P6" s="2"/>
      <c r="Q6" s="2"/>
      <c r="R6" s="2"/>
      <c r="S6" s="5"/>
      <c r="T6" s="6"/>
      <c r="U6" s="2"/>
      <c r="V6" s="2"/>
      <c r="W6" s="2"/>
      <c r="X6" s="2"/>
      <c r="Y6" s="2"/>
      <c r="Z6" s="2"/>
    </row>
    <row r="7">
      <c r="K7" s="2"/>
      <c r="L7" s="2"/>
      <c r="M7" s="2"/>
      <c r="N7" s="2"/>
      <c r="O7" s="2"/>
      <c r="P7" s="2"/>
      <c r="Q7" s="2"/>
      <c r="R7" s="2"/>
      <c r="S7" s="5"/>
      <c r="T7" s="6"/>
      <c r="U7" s="2"/>
      <c r="V7" s="2"/>
      <c r="W7" s="2"/>
      <c r="X7" s="2"/>
      <c r="Y7" s="2"/>
      <c r="Z7" s="2"/>
    </row>
    <row r="8">
      <c r="K8" s="2"/>
      <c r="L8" s="2"/>
      <c r="M8" s="2"/>
      <c r="N8" s="2"/>
      <c r="O8" s="2"/>
      <c r="P8" s="2"/>
      <c r="Q8" s="2"/>
      <c r="R8" s="2"/>
      <c r="S8" s="5"/>
      <c r="T8" s="6"/>
      <c r="U8" s="2"/>
      <c r="V8" s="2"/>
      <c r="W8" s="2"/>
      <c r="X8" s="2"/>
      <c r="Y8" s="2"/>
      <c r="Z8" s="2"/>
    </row>
    <row r="9">
      <c r="B9" s="1"/>
      <c r="C9" s="2"/>
      <c r="D9" s="2"/>
      <c r="E9" s="2"/>
      <c r="F9" s="2"/>
      <c r="G9" s="7" t="s">
        <v>1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5"/>
      <c r="T9" s="6"/>
      <c r="U9" s="2"/>
      <c r="V9" s="2"/>
      <c r="W9" s="2"/>
      <c r="X9" s="2"/>
      <c r="Y9" s="2"/>
      <c r="Z9" s="2"/>
    </row>
    <row r="10">
      <c r="B10" s="1"/>
      <c r="C10" s="2"/>
      <c r="D10" s="2"/>
      <c r="E10" s="2"/>
      <c r="F10" s="2"/>
      <c r="G10" s="2"/>
      <c r="H10" s="9" t="s">
        <v>2</v>
      </c>
      <c r="I10" s="10" t="s">
        <v>3</v>
      </c>
      <c r="J10" s="2"/>
      <c r="K10" s="2"/>
      <c r="L10" s="2"/>
      <c r="M10" s="2"/>
      <c r="N10" s="2"/>
      <c r="O10" s="2"/>
      <c r="P10" s="2"/>
      <c r="Q10" s="2"/>
      <c r="R10" s="2"/>
      <c r="S10" s="5"/>
      <c r="T10" s="6"/>
      <c r="U10" s="2"/>
      <c r="V10" s="2"/>
      <c r="W10" s="2"/>
      <c r="X10" s="2"/>
      <c r="Y10" s="2"/>
      <c r="Z10" s="2"/>
    </row>
    <row r="11">
      <c r="B11" s="11" t="s">
        <v>4</v>
      </c>
      <c r="C11" s="12">
        <f t="shared" ref="C11:G11" si="1">Rand()</f>
        <v>0.2534053963</v>
      </c>
      <c r="D11" s="13">
        <f t="shared" si="1"/>
        <v>0.1218583187</v>
      </c>
      <c r="E11" s="13">
        <f t="shared" si="1"/>
        <v>0.3674064103</v>
      </c>
      <c r="F11" s="13">
        <f t="shared" si="1"/>
        <v>0.9364389254</v>
      </c>
      <c r="G11" s="14">
        <f t="shared" si="1"/>
        <v>0.4953922011</v>
      </c>
      <c r="H11" s="15">
        <f t="shared" ref="H11:H15" si="3">AVERAGE(C11:G11)</f>
        <v>0.4349002503</v>
      </c>
      <c r="I11" s="15">
        <f t="shared" ref="I11:I15" si="4">VAR(C11:G11)</f>
        <v>0.09767284254</v>
      </c>
      <c r="J11" s="2"/>
      <c r="K11" s="2"/>
      <c r="L11" s="2"/>
      <c r="M11" s="2"/>
      <c r="N11" s="2"/>
      <c r="O11" s="2"/>
      <c r="P11" s="2"/>
      <c r="Q11" s="2"/>
      <c r="R11" s="2"/>
      <c r="S11" s="5"/>
      <c r="T11" s="6"/>
      <c r="U11" s="2"/>
      <c r="V11" s="2"/>
      <c r="W11" s="2"/>
      <c r="X11" s="2"/>
      <c r="Y11" s="2"/>
      <c r="Z11" s="2"/>
    </row>
    <row r="12">
      <c r="B12" s="1"/>
      <c r="C12" s="16">
        <f t="shared" ref="C12:G12" si="2">Rand()</f>
        <v>0.8644904641</v>
      </c>
      <c r="D12" s="15">
        <f t="shared" si="2"/>
        <v>0.4923197142</v>
      </c>
      <c r="E12" s="15">
        <f t="shared" si="2"/>
        <v>0.2240011388</v>
      </c>
      <c r="F12" s="15">
        <f t="shared" si="2"/>
        <v>0.7399771672</v>
      </c>
      <c r="G12" s="17">
        <f t="shared" si="2"/>
        <v>0.5463713284</v>
      </c>
      <c r="H12" s="15">
        <f t="shared" si="3"/>
        <v>0.5734319625</v>
      </c>
      <c r="I12" s="15">
        <f t="shared" si="4"/>
        <v>0.06046643297</v>
      </c>
      <c r="J12" s="2"/>
      <c r="K12" s="2"/>
      <c r="L12" s="2"/>
      <c r="M12" s="2"/>
      <c r="N12" s="2"/>
      <c r="O12" s="2"/>
      <c r="P12" s="2"/>
      <c r="Q12" s="2"/>
      <c r="R12" s="2"/>
      <c r="S12" s="5"/>
      <c r="T12" s="6"/>
      <c r="U12" s="2"/>
      <c r="V12" s="2"/>
      <c r="W12" s="2"/>
      <c r="X12" s="2"/>
      <c r="Y12" s="2"/>
      <c r="Z12" s="2"/>
    </row>
    <row r="13">
      <c r="B13" s="1"/>
      <c r="C13" s="16">
        <f t="shared" ref="C13:G13" si="5">Rand()</f>
        <v>0.4879064599</v>
      </c>
      <c r="D13" s="15">
        <f t="shared" si="5"/>
        <v>0.7719250412</v>
      </c>
      <c r="E13" s="15">
        <f t="shared" si="5"/>
        <v>0.2082362741</v>
      </c>
      <c r="F13" s="15">
        <f t="shared" si="5"/>
        <v>0.8916746783</v>
      </c>
      <c r="G13" s="17">
        <f t="shared" si="5"/>
        <v>0.7964065748</v>
      </c>
      <c r="H13" s="15">
        <f t="shared" si="3"/>
        <v>0.6312298057</v>
      </c>
      <c r="I13" s="15">
        <f t="shared" si="4"/>
        <v>0.07859378881</v>
      </c>
      <c r="J13" s="2"/>
      <c r="K13" s="2"/>
      <c r="L13" s="2"/>
      <c r="M13" s="2"/>
      <c r="N13" s="2"/>
      <c r="O13" s="2"/>
      <c r="P13" s="2"/>
      <c r="Q13" s="2"/>
      <c r="R13" s="2"/>
      <c r="S13" s="5"/>
      <c r="T13" s="6"/>
      <c r="U13" s="2"/>
      <c r="V13" s="2"/>
      <c r="W13" s="2"/>
      <c r="X13" s="2"/>
      <c r="Y13" s="2"/>
      <c r="Z13" s="2"/>
    </row>
    <row r="14">
      <c r="B14" s="1"/>
      <c r="C14" s="16">
        <f t="shared" ref="C14:G14" si="6">Rand()</f>
        <v>0.5951971833</v>
      </c>
      <c r="D14" s="15">
        <f t="shared" si="6"/>
        <v>0.0683950584</v>
      </c>
      <c r="E14" s="15">
        <f t="shared" si="6"/>
        <v>0.04303586406</v>
      </c>
      <c r="F14" s="15">
        <f t="shared" si="6"/>
        <v>0.5966200276</v>
      </c>
      <c r="G14" s="17">
        <f t="shared" si="6"/>
        <v>0.1040770997</v>
      </c>
      <c r="H14" s="15">
        <f t="shared" si="3"/>
        <v>0.2814650466</v>
      </c>
      <c r="I14" s="15">
        <f t="shared" si="4"/>
        <v>0.08286607357</v>
      </c>
      <c r="J14" s="2"/>
      <c r="K14" s="2"/>
      <c r="L14" s="2"/>
      <c r="M14" s="2"/>
      <c r="N14" s="2"/>
      <c r="O14" s="2"/>
      <c r="P14" s="2"/>
      <c r="Q14" s="2"/>
      <c r="R14" s="2"/>
      <c r="S14" s="5"/>
      <c r="T14" s="6"/>
      <c r="U14" s="2"/>
      <c r="V14" s="2"/>
      <c r="W14" s="2"/>
      <c r="X14" s="2"/>
      <c r="Y14" s="2"/>
      <c r="Z14" s="2"/>
    </row>
    <row r="15">
      <c r="B15" s="1"/>
      <c r="C15" s="18">
        <f t="shared" ref="C15:G15" si="7">Rand()</f>
        <v>0.9258982979</v>
      </c>
      <c r="D15" s="19">
        <f t="shared" si="7"/>
        <v>0.7013683831</v>
      </c>
      <c r="E15" s="19">
        <f t="shared" si="7"/>
        <v>0.8422349082</v>
      </c>
      <c r="F15" s="19">
        <f t="shared" si="7"/>
        <v>0.1549202806</v>
      </c>
      <c r="G15" s="20">
        <f t="shared" si="7"/>
        <v>0.651271776</v>
      </c>
      <c r="H15" s="15">
        <f t="shared" si="3"/>
        <v>0.6551387292</v>
      </c>
      <c r="I15" s="15">
        <f t="shared" si="4"/>
        <v>0.09017158869</v>
      </c>
      <c r="J15" s="2"/>
      <c r="K15" s="2"/>
      <c r="L15" s="2"/>
      <c r="M15" s="2"/>
      <c r="N15" s="2"/>
      <c r="O15" s="2"/>
      <c r="P15" s="2"/>
      <c r="Q15" s="2"/>
      <c r="R15" s="2"/>
      <c r="S15" s="5"/>
      <c r="T15" s="6"/>
      <c r="U15" s="2"/>
      <c r="V15" s="2"/>
      <c r="W15" s="2"/>
      <c r="X15" s="2"/>
      <c r="Y15" s="2"/>
      <c r="Z15" s="2"/>
    </row>
    <row r="16">
      <c r="I16" s="2"/>
      <c r="J16" s="2"/>
      <c r="K16" s="2"/>
      <c r="L16" s="2"/>
      <c r="M16" s="2"/>
      <c r="N16" s="2"/>
      <c r="O16" s="2"/>
      <c r="P16" s="2"/>
      <c r="Q16" s="2"/>
      <c r="R16" s="2"/>
      <c r="S16" s="5"/>
      <c r="T16" s="6"/>
      <c r="U16" s="2"/>
      <c r="V16" s="2"/>
      <c r="W16" s="2"/>
      <c r="X16" s="2"/>
      <c r="Y16" s="2"/>
      <c r="Z16" s="2"/>
    </row>
    <row r="17">
      <c r="I17" s="2"/>
      <c r="J17" s="2"/>
      <c r="K17" s="2"/>
      <c r="L17" s="2"/>
      <c r="M17" s="2"/>
      <c r="N17" s="2"/>
      <c r="O17" s="2"/>
      <c r="P17" s="2"/>
      <c r="Q17" s="2"/>
      <c r="R17" s="2"/>
      <c r="S17" s="5"/>
      <c r="T17" s="6"/>
      <c r="U17" s="2"/>
      <c r="V17" s="2"/>
      <c r="W17" s="2"/>
      <c r="X17" s="2"/>
      <c r="Y17" s="2"/>
      <c r="Z17" s="2"/>
    </row>
    <row r="18">
      <c r="A18" s="21" t="s">
        <v>5</v>
      </c>
      <c r="F18" s="22" t="s">
        <v>6</v>
      </c>
      <c r="G18" s="23">
        <f>1E-16</f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5"/>
      <c r="T18" s="6"/>
      <c r="U18" s="2"/>
      <c r="V18" s="2"/>
      <c r="W18" s="2"/>
      <c r="X18" s="2"/>
      <c r="Y18" s="2"/>
      <c r="Z18" s="2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/>
      <c r="T19" s="27"/>
      <c r="U19" s="25"/>
      <c r="V19" s="25"/>
      <c r="W19" s="25"/>
      <c r="X19" s="25"/>
      <c r="Y19" s="25"/>
      <c r="Z19" s="25"/>
    </row>
    <row r="20">
      <c r="A20" s="25"/>
      <c r="B20" s="11" t="s">
        <v>7</v>
      </c>
      <c r="C20" s="28">
        <f t="shared" ref="C20:G20" si="8">((C11-$H11)/SQRT($I11+$G$18))</f>
        <v>-0.5807341995</v>
      </c>
      <c r="D20" s="29">
        <f t="shared" si="8"/>
        <v>-1.001649091</v>
      </c>
      <c r="E20" s="29">
        <f t="shared" si="8"/>
        <v>-0.2159619422</v>
      </c>
      <c r="F20" s="29">
        <f t="shared" si="8"/>
        <v>1.604787433</v>
      </c>
      <c r="G20" s="30">
        <f t="shared" si="8"/>
        <v>0.1935577996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r="T20" s="27"/>
      <c r="U20" s="25"/>
      <c r="V20" s="25"/>
      <c r="W20" s="25"/>
      <c r="X20" s="25"/>
      <c r="Y20" s="25"/>
      <c r="Z20" s="25"/>
    </row>
    <row r="21">
      <c r="A21" s="25"/>
      <c r="B21" s="11" t="s">
        <v>8</v>
      </c>
      <c r="C21" s="31">
        <f t="shared" ref="C21:G21" si="9">((C12-$H12)/SQRT($I12+$G$18))</f>
        <v>1.183649488</v>
      </c>
      <c r="D21" s="32">
        <f t="shared" si="9"/>
        <v>-0.3298597041</v>
      </c>
      <c r="E21" s="32">
        <f t="shared" si="9"/>
        <v>-1.421032587</v>
      </c>
      <c r="F21" s="32">
        <f t="shared" si="9"/>
        <v>0.6772904591</v>
      </c>
      <c r="G21" s="33">
        <f t="shared" si="9"/>
        <v>-0.1100476554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r="T21" s="27"/>
      <c r="U21" s="25"/>
      <c r="V21" s="25"/>
      <c r="W21" s="25"/>
      <c r="X21" s="25"/>
      <c r="Y21" s="25"/>
      <c r="Z21" s="25"/>
    </row>
    <row r="22">
      <c r="A22" s="25"/>
      <c r="B22" s="25"/>
      <c r="C22" s="31">
        <f t="shared" ref="C22:G22" si="10">((C13-$H13)/SQRT($I13+$G$18))</f>
        <v>-0.5112376443</v>
      </c>
      <c r="D22" s="32">
        <f t="shared" si="10"/>
        <v>0.5018631151</v>
      </c>
      <c r="E22" s="32">
        <f t="shared" si="10"/>
        <v>-1.508827578</v>
      </c>
      <c r="F22" s="32">
        <f t="shared" si="10"/>
        <v>0.929012803</v>
      </c>
      <c r="G22" s="33">
        <f t="shared" si="10"/>
        <v>0.5891893042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r="T22" s="27"/>
      <c r="U22" s="25"/>
      <c r="V22" s="25"/>
      <c r="W22" s="25"/>
      <c r="X22" s="25"/>
      <c r="Y22" s="25"/>
      <c r="Z22" s="25"/>
    </row>
    <row r="23">
      <c r="A23" s="25"/>
      <c r="B23" s="25"/>
      <c r="C23" s="31">
        <f t="shared" ref="C23:G23" si="11">((C14-$H14)/SQRT($I14+$G$18))</f>
        <v>1.089859782</v>
      </c>
      <c r="D23" s="32">
        <f t="shared" si="11"/>
        <v>-0.7401741289</v>
      </c>
      <c r="E23" s="32">
        <f t="shared" si="11"/>
        <v>-0.8282682792</v>
      </c>
      <c r="F23" s="32">
        <f t="shared" si="11"/>
        <v>1.094802536</v>
      </c>
      <c r="G23" s="33">
        <f t="shared" si="11"/>
        <v>-0.6162199105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6"/>
      <c r="T23" s="27"/>
      <c r="U23" s="25"/>
      <c r="V23" s="25"/>
      <c r="W23" s="25"/>
      <c r="X23" s="25"/>
      <c r="Y23" s="25"/>
      <c r="Z23" s="25"/>
    </row>
    <row r="24">
      <c r="A24" s="25"/>
      <c r="B24" s="25"/>
      <c r="C24" s="34">
        <f t="shared" ref="C24:G24" si="12">((C15-$H15)/SQRT($I15+$G$18))</f>
        <v>0.901672767</v>
      </c>
      <c r="D24" s="35">
        <f t="shared" si="12"/>
        <v>0.1539521584</v>
      </c>
      <c r="E24" s="35">
        <f t="shared" si="12"/>
        <v>0.6230602679</v>
      </c>
      <c r="F24" s="35">
        <f t="shared" si="12"/>
        <v>-1.665807619</v>
      </c>
      <c r="G24" s="36">
        <f t="shared" si="12"/>
        <v>-0.01287757388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27"/>
      <c r="U24" s="25"/>
      <c r="V24" s="25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5"/>
      <c r="T25" s="6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5"/>
      <c r="T26" s="6"/>
      <c r="U26" s="2"/>
      <c r="V26" s="2"/>
      <c r="W26" s="2"/>
      <c r="X26" s="2"/>
      <c r="Y26" s="2"/>
      <c r="Z26" s="2"/>
    </row>
    <row r="27">
      <c r="A27" s="37" t="s">
        <v>9</v>
      </c>
      <c r="E27" s="2"/>
      <c r="F27" s="22" t="s">
        <v>10</v>
      </c>
      <c r="G27" s="38">
        <v>0.5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5"/>
      <c r="T27" s="6"/>
      <c r="U27" s="2"/>
      <c r="V27" s="2"/>
      <c r="W27" s="2"/>
      <c r="X27" s="2"/>
      <c r="Y27" s="2"/>
      <c r="Z27" s="2"/>
    </row>
    <row r="28">
      <c r="E28" s="2"/>
      <c r="F28" s="22" t="s">
        <v>11</v>
      </c>
      <c r="G28" s="38">
        <v>0.1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5"/>
      <c r="T28" s="6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5"/>
      <c r="T29" s="6"/>
      <c r="U29" s="2"/>
      <c r="V29" s="2"/>
      <c r="W29" s="2"/>
      <c r="X29" s="2"/>
      <c r="Y29" s="2"/>
      <c r="Z29" s="2"/>
    </row>
    <row r="30">
      <c r="B30" s="22" t="s">
        <v>12</v>
      </c>
      <c r="C30" s="39">
        <f t="shared" ref="C30:G30" si="13">$G$27*C20+$G$28</f>
        <v>-0.1903670997</v>
      </c>
      <c r="D30" s="40">
        <f t="shared" si="13"/>
        <v>-0.4008245455</v>
      </c>
      <c r="E30" s="40">
        <f t="shared" si="13"/>
        <v>-0.007980971101</v>
      </c>
      <c r="F30" s="40">
        <f t="shared" si="13"/>
        <v>0.9023937166</v>
      </c>
      <c r="G30" s="41">
        <f t="shared" si="13"/>
        <v>0.1967788998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5"/>
      <c r="T30" s="6"/>
      <c r="U30" s="2"/>
      <c r="V30" s="2"/>
      <c r="W30" s="2"/>
      <c r="Z30" s="2"/>
    </row>
    <row r="31">
      <c r="B31" s="1"/>
      <c r="C31" s="42">
        <f t="shared" ref="C31:G31" si="14">$G$27*C21+$G$28</f>
        <v>0.6918247438</v>
      </c>
      <c r="D31" s="43">
        <f t="shared" si="14"/>
        <v>-0.06492985203</v>
      </c>
      <c r="E31" s="43">
        <f t="shared" si="14"/>
        <v>-0.6105162936</v>
      </c>
      <c r="F31" s="43">
        <f t="shared" si="14"/>
        <v>0.4386452295</v>
      </c>
      <c r="G31" s="44">
        <f t="shared" si="14"/>
        <v>0.04497617229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5"/>
      <c r="T31" s="6"/>
      <c r="U31" s="2"/>
      <c r="V31" s="2"/>
      <c r="W31" s="2"/>
      <c r="Z31" s="2"/>
    </row>
    <row r="32">
      <c r="B32" s="1"/>
      <c r="C32" s="42">
        <f t="shared" ref="C32:G32" si="15">$G$27*C22+$G$28</f>
        <v>-0.1556188221</v>
      </c>
      <c r="D32" s="43">
        <f t="shared" si="15"/>
        <v>0.3509315576</v>
      </c>
      <c r="E32" s="43">
        <f t="shared" si="15"/>
        <v>-0.654413789</v>
      </c>
      <c r="F32" s="43">
        <f t="shared" si="15"/>
        <v>0.5645064015</v>
      </c>
      <c r="G32" s="44">
        <f t="shared" si="15"/>
        <v>0.3945946521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5"/>
      <c r="T32" s="6"/>
      <c r="U32" s="2"/>
      <c r="V32" s="2"/>
      <c r="W32" s="2"/>
      <c r="X32" s="2"/>
      <c r="Y32" s="2"/>
      <c r="Z32" s="2"/>
    </row>
    <row r="33">
      <c r="B33" s="1"/>
      <c r="C33" s="42">
        <f t="shared" ref="C33:G33" si="16">$G$27*C23+$G$28</f>
        <v>0.6449298911</v>
      </c>
      <c r="D33" s="43">
        <f t="shared" si="16"/>
        <v>-0.2700870644</v>
      </c>
      <c r="E33" s="43">
        <f t="shared" si="16"/>
        <v>-0.3141341396</v>
      </c>
      <c r="F33" s="43">
        <f t="shared" si="16"/>
        <v>0.6474012681</v>
      </c>
      <c r="G33" s="44">
        <f t="shared" si="16"/>
        <v>-0.2081099553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"/>
      <c r="T33" s="6"/>
      <c r="U33" s="2"/>
      <c r="V33" s="2"/>
      <c r="W33" s="2"/>
      <c r="X33" s="2"/>
      <c r="Y33" s="2"/>
      <c r="Z33" s="2"/>
    </row>
    <row r="34">
      <c r="B34" s="1"/>
      <c r="C34" s="45">
        <f t="shared" ref="C34:G34" si="17">$G$27*C24+$G$28</f>
        <v>0.5508363835</v>
      </c>
      <c r="D34" s="46">
        <f t="shared" si="17"/>
        <v>0.1769760792</v>
      </c>
      <c r="E34" s="46">
        <f t="shared" si="17"/>
        <v>0.411530134</v>
      </c>
      <c r="F34" s="46">
        <f t="shared" si="17"/>
        <v>-0.7329038097</v>
      </c>
      <c r="G34" s="47">
        <f t="shared" si="17"/>
        <v>0.09356121306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"/>
      <c r="T34" s="6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6"/>
      <c r="U35" s="2"/>
      <c r="V35" s="2"/>
      <c r="W35" s="2"/>
      <c r="X35" s="2"/>
      <c r="Y35" s="2"/>
      <c r="Z35" s="2"/>
    </row>
    <row r="36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5"/>
      <c r="T36" s="6"/>
      <c r="U36" s="2"/>
      <c r="V36" s="2"/>
      <c r="W36" s="2"/>
      <c r="X36" s="2"/>
      <c r="Y36" s="2"/>
      <c r="Z36" s="2"/>
    </row>
    <row r="37">
      <c r="A37" s="3" t="s">
        <v>13</v>
      </c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11" t="s">
        <v>4</v>
      </c>
      <c r="C46" s="48">
        <f t="shared" ref="C46:G46" si="18">Rand()</f>
        <v>0.3266955837</v>
      </c>
      <c r="D46" s="49">
        <f t="shared" si="18"/>
        <v>0.2801017711</v>
      </c>
      <c r="E46" s="50">
        <f t="shared" si="18"/>
        <v>0.1850070212</v>
      </c>
      <c r="F46" s="51">
        <f t="shared" si="18"/>
        <v>0.9503817292</v>
      </c>
      <c r="G46" s="52">
        <f t="shared" si="18"/>
        <v>0.3723682785</v>
      </c>
      <c r="H46" s="53"/>
      <c r="I46" s="53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54">
        <f t="shared" ref="C47:G47" si="19">Rand()</f>
        <v>0.2323076681</v>
      </c>
      <c r="D47" s="55">
        <f t="shared" si="19"/>
        <v>0.05833070611</v>
      </c>
      <c r="E47" s="56">
        <f t="shared" si="19"/>
        <v>0.6079804888</v>
      </c>
      <c r="F47" s="57">
        <f t="shared" si="19"/>
        <v>0.0820720573</v>
      </c>
      <c r="G47" s="58">
        <f t="shared" si="19"/>
        <v>0.9192701469</v>
      </c>
      <c r="H47" s="53"/>
      <c r="I47" s="53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59">
        <f t="shared" ref="C48:G48" si="20">Rand()</f>
        <v>0.1791165469</v>
      </c>
      <c r="D48" s="60">
        <f t="shared" si="20"/>
        <v>0.9678091359</v>
      </c>
      <c r="E48" s="61">
        <f t="shared" si="20"/>
        <v>0.3235939311</v>
      </c>
      <c r="F48" s="62">
        <f t="shared" si="20"/>
        <v>0.7303619393</v>
      </c>
      <c r="G48" s="63">
        <f t="shared" si="20"/>
        <v>0.5802635237</v>
      </c>
      <c r="H48" s="53"/>
      <c r="I48" s="53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64">
        <f t="shared" ref="C49:G49" si="21">Rand()</f>
        <v>0.09857736479</v>
      </c>
      <c r="D49" s="65">
        <f t="shared" si="21"/>
        <v>0.8648607421</v>
      </c>
      <c r="E49" s="66">
        <f t="shared" si="21"/>
        <v>0.5814104604</v>
      </c>
      <c r="F49" s="67">
        <f t="shared" si="21"/>
        <v>0.6655664409</v>
      </c>
      <c r="G49" s="68">
        <f t="shared" si="21"/>
        <v>0.7205938658</v>
      </c>
      <c r="H49" s="53"/>
      <c r="I49" s="53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69">
        <f t="shared" ref="C50:G50" si="22">Rand()</f>
        <v>0.5581685314</v>
      </c>
      <c r="D50" s="70">
        <f t="shared" si="22"/>
        <v>0.3619063767</v>
      </c>
      <c r="E50" s="71">
        <f t="shared" si="22"/>
        <v>0.8494832069</v>
      </c>
      <c r="F50" s="72">
        <f t="shared" si="22"/>
        <v>0.8533553978</v>
      </c>
      <c r="G50" s="73">
        <f t="shared" si="22"/>
        <v>0.4615469676</v>
      </c>
      <c r="H50" s="53"/>
      <c r="I50" s="53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74" t="s">
        <v>2</v>
      </c>
      <c r="C51" s="53">
        <f t="shared" ref="C51:G51" si="23">AVERAGE(C46:C50)</f>
        <v>0.278973139</v>
      </c>
      <c r="D51" s="53">
        <f t="shared" si="23"/>
        <v>0.5066017464</v>
      </c>
      <c r="E51" s="53">
        <f t="shared" si="23"/>
        <v>0.5094950217</v>
      </c>
      <c r="F51" s="53">
        <f t="shared" si="23"/>
        <v>0.6563475129</v>
      </c>
      <c r="G51" s="53">
        <f t="shared" si="23"/>
        <v>0.6108085565</v>
      </c>
      <c r="H51" s="75" t="s">
        <v>1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76" t="s">
        <v>3</v>
      </c>
      <c r="C52" s="53">
        <f t="shared" ref="C52:G52" si="24">Var(C46:C50)</f>
        <v>0.03122978485</v>
      </c>
      <c r="D52" s="53">
        <f t="shared" si="24"/>
        <v>0.1535619196</v>
      </c>
      <c r="E52" s="53">
        <f t="shared" si="24"/>
        <v>0.06757871541</v>
      </c>
      <c r="F52" s="53">
        <f t="shared" si="24"/>
        <v>0.1151559125</v>
      </c>
      <c r="G52" s="53">
        <f t="shared" si="24"/>
        <v>0.0468167885</v>
      </c>
      <c r="H52" s="77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78"/>
      <c r="B54" s="78"/>
      <c r="C54" s="78"/>
      <c r="D54" s="78"/>
      <c r="E54" s="25"/>
      <c r="F54" s="79"/>
      <c r="G54" s="80"/>
      <c r="H54" s="80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78" t="s">
        <v>5</v>
      </c>
      <c r="E55" s="25"/>
      <c r="F55" s="79" t="s">
        <v>6</v>
      </c>
      <c r="G55" s="80">
        <f>1E-16</f>
        <v>0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81"/>
      <c r="T56" s="82"/>
      <c r="U56" s="25"/>
      <c r="V56" s="25"/>
      <c r="W56" s="25"/>
      <c r="X56" s="25"/>
      <c r="Y56" s="25"/>
      <c r="Z56" s="25"/>
    </row>
    <row r="57">
      <c r="A57" s="25"/>
      <c r="B57" s="79" t="s">
        <v>7</v>
      </c>
      <c r="C57" s="83">
        <f t="shared" ref="C57:G57" si="25">((C46-C$51)/SQRT(C$52+$G$55))</f>
        <v>0.2700462728</v>
      </c>
      <c r="D57" s="84">
        <f t="shared" si="25"/>
        <v>-0.5779980759</v>
      </c>
      <c r="E57" s="84">
        <f t="shared" si="25"/>
        <v>-1.248227295</v>
      </c>
      <c r="F57" s="84">
        <f t="shared" si="25"/>
        <v>0.8664724349</v>
      </c>
      <c r="G57" s="85">
        <f t="shared" si="25"/>
        <v>-1.101992934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81"/>
      <c r="T57" s="82"/>
      <c r="U57" s="25"/>
      <c r="V57" s="25"/>
      <c r="W57" s="25"/>
      <c r="X57" s="25"/>
      <c r="Y57" s="25"/>
      <c r="Z57" s="25"/>
    </row>
    <row r="58">
      <c r="A58" s="25"/>
      <c r="B58" s="11" t="s">
        <v>14</v>
      </c>
      <c r="C58" s="86">
        <f t="shared" ref="C58:G58" si="26">((C47-C$51)/SQRT(C$52+$G$55))</f>
        <v>-0.264065191</v>
      </c>
      <c r="D58" s="87">
        <f t="shared" si="26"/>
        <v>-1.143928596</v>
      </c>
      <c r="E58" s="87">
        <f t="shared" si="26"/>
        <v>0.3788499054</v>
      </c>
      <c r="F58" s="87">
        <f t="shared" si="26"/>
        <v>-1.692299143</v>
      </c>
      <c r="G58" s="88">
        <f t="shared" si="26"/>
        <v>1.425608526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81"/>
      <c r="T58" s="82"/>
      <c r="U58" s="25"/>
      <c r="V58" s="25"/>
      <c r="W58" s="25"/>
      <c r="X58" s="25"/>
      <c r="Y58" s="25"/>
      <c r="Z58" s="25"/>
    </row>
    <row r="59">
      <c r="A59" s="25"/>
      <c r="B59" s="25"/>
      <c r="C59" s="86">
        <f t="shared" ref="C59:G59" si="27">((C48-C$51)/SQRT(C$52+$G$55))</f>
        <v>-0.5650569803</v>
      </c>
      <c r="D59" s="87">
        <f t="shared" si="27"/>
        <v>1.176940454</v>
      </c>
      <c r="E59" s="87">
        <f t="shared" si="27"/>
        <v>-0.7151167848</v>
      </c>
      <c r="F59" s="87">
        <f t="shared" si="27"/>
        <v>0.2181088346</v>
      </c>
      <c r="G59" s="88">
        <f t="shared" si="27"/>
        <v>-0.1411691456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81"/>
      <c r="T59" s="82"/>
      <c r="U59" s="25"/>
      <c r="V59" s="25"/>
      <c r="W59" s="25"/>
      <c r="X59" s="25"/>
      <c r="Y59" s="25"/>
      <c r="Z59" s="25"/>
    </row>
    <row r="60">
      <c r="A60" s="25"/>
      <c r="B60" s="25"/>
      <c r="C60" s="86">
        <f t="shared" ref="C60:G60" si="28">((C49-C$51)/SQRT(C$52+$G$55))</f>
        <v>-1.020802826</v>
      </c>
      <c r="D60" s="87">
        <f t="shared" si="28"/>
        <v>0.9142297254</v>
      </c>
      <c r="E60" s="87">
        <f t="shared" si="28"/>
        <v>0.2766413964</v>
      </c>
      <c r="F60" s="87">
        <f t="shared" si="28"/>
        <v>0.02716672601</v>
      </c>
      <c r="G60" s="88">
        <f t="shared" si="28"/>
        <v>0.5073917717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81"/>
      <c r="T60" s="82"/>
      <c r="U60" s="25"/>
      <c r="V60" s="25"/>
      <c r="W60" s="25"/>
      <c r="X60" s="25"/>
      <c r="Y60" s="25"/>
      <c r="Z60" s="25"/>
    </row>
    <row r="61">
      <c r="A61" s="25"/>
      <c r="B61" s="25"/>
      <c r="C61" s="89">
        <f t="shared" ref="C61:G61" si="29">((C50-C$51)/SQRT(C$52+$G$55))</f>
        <v>1.579878725</v>
      </c>
      <c r="D61" s="90">
        <f t="shared" si="29"/>
        <v>-0.3692435072</v>
      </c>
      <c r="E61" s="90">
        <f t="shared" si="29"/>
        <v>1.307852778</v>
      </c>
      <c r="F61" s="90">
        <f t="shared" si="29"/>
        <v>0.5805511476</v>
      </c>
      <c r="G61" s="91">
        <f t="shared" si="29"/>
        <v>-0.6898382173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81"/>
      <c r="T61" s="82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92" t="s">
        <v>9</v>
      </c>
      <c r="E64" s="25"/>
      <c r="F64" s="79" t="s">
        <v>10</v>
      </c>
      <c r="G64" s="93">
        <v>0.5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E65" s="25"/>
      <c r="F65" s="79" t="s">
        <v>11</v>
      </c>
      <c r="G65" s="94">
        <v>-0.1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11" t="s">
        <v>15</v>
      </c>
      <c r="C67" s="28">
        <f t="shared" ref="C67:G67" si="30">$G$64*C57+$G$65</f>
        <v>0.03502313639</v>
      </c>
      <c r="D67" s="29">
        <f t="shared" si="30"/>
        <v>-0.388999038</v>
      </c>
      <c r="E67" s="29">
        <f t="shared" si="30"/>
        <v>-0.7241136477</v>
      </c>
      <c r="F67" s="29">
        <f t="shared" si="30"/>
        <v>0.3332362174</v>
      </c>
      <c r="G67" s="30">
        <f t="shared" si="30"/>
        <v>-0.6509964672</v>
      </c>
      <c r="H67" s="25"/>
      <c r="I67" s="25"/>
      <c r="J67" s="9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31">
        <f t="shared" ref="C68:G68" si="31">$G$64*C58+$G$65</f>
        <v>-0.2320325955</v>
      </c>
      <c r="D68" s="32">
        <f t="shared" si="31"/>
        <v>-0.6719642981</v>
      </c>
      <c r="E68" s="32">
        <f t="shared" si="31"/>
        <v>0.08942495271</v>
      </c>
      <c r="F68" s="32">
        <f t="shared" si="31"/>
        <v>-0.9461495716</v>
      </c>
      <c r="G68" s="33">
        <f t="shared" si="31"/>
        <v>0.6128042629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31">
        <f t="shared" ref="C69:G69" si="32">$G$64*C59+$G$65</f>
        <v>-0.3825284901</v>
      </c>
      <c r="D69" s="32">
        <f t="shared" si="32"/>
        <v>0.488470227</v>
      </c>
      <c r="E69" s="32">
        <f t="shared" si="32"/>
        <v>-0.4575583924</v>
      </c>
      <c r="F69" s="32">
        <f t="shared" si="32"/>
        <v>0.009054417309</v>
      </c>
      <c r="G69" s="33">
        <f t="shared" si="32"/>
        <v>-0.1705845728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31">
        <f t="shared" ref="C70:G70" si="33">$G$64*C60+$G$65</f>
        <v>-0.6104014131</v>
      </c>
      <c r="D70" s="32">
        <f t="shared" si="33"/>
        <v>0.3571148627</v>
      </c>
      <c r="E70" s="32">
        <f t="shared" si="33"/>
        <v>0.0383206982</v>
      </c>
      <c r="F70" s="32">
        <f t="shared" si="33"/>
        <v>-0.086416637</v>
      </c>
      <c r="G70" s="33">
        <f t="shared" si="33"/>
        <v>0.1536958858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34">
        <f t="shared" ref="C71:G71" si="34">$G$64*C61+$G$65</f>
        <v>0.6899393623</v>
      </c>
      <c r="D71" s="35">
        <f t="shared" si="34"/>
        <v>-0.2846217536</v>
      </c>
      <c r="E71" s="35">
        <f t="shared" si="34"/>
        <v>0.5539263892</v>
      </c>
      <c r="F71" s="35">
        <f t="shared" si="34"/>
        <v>0.1902755738</v>
      </c>
      <c r="G71" s="36">
        <f t="shared" si="34"/>
        <v>-0.4449191087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3" t="s">
        <v>16</v>
      </c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C81" s="1"/>
      <c r="D81" s="2"/>
      <c r="E81" s="2"/>
      <c r="F81" s="2"/>
      <c r="G81" s="7" t="s">
        <v>1</v>
      </c>
      <c r="H81" s="8"/>
      <c r="I81" s="8"/>
      <c r="J81" s="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I82" s="9" t="s">
        <v>17</v>
      </c>
      <c r="J82" s="96"/>
      <c r="K82" s="2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C83" s="11" t="s">
        <v>4</v>
      </c>
      <c r="D83" s="12">
        <f t="shared" ref="D83:H83" si="35">Rand()</f>
        <v>0.6721977601</v>
      </c>
      <c r="E83" s="13">
        <f t="shared" si="35"/>
        <v>0.9776928862</v>
      </c>
      <c r="F83" s="13">
        <f t="shared" si="35"/>
        <v>0.5500983705</v>
      </c>
      <c r="G83" s="13">
        <f t="shared" si="35"/>
        <v>0.9236430653</v>
      </c>
      <c r="H83" s="14">
        <f t="shared" si="35"/>
        <v>0.115329075</v>
      </c>
      <c r="I83" s="15">
        <f t="shared" ref="I83:I87" si="37">SUMSQ(D83:H83)</f>
        <v>2.576758733</v>
      </c>
      <c r="J83" s="15"/>
      <c r="K83" s="2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C84" s="1"/>
      <c r="D84" s="16">
        <f t="shared" ref="D84:H84" si="36">Rand()</f>
        <v>0.6817449921</v>
      </c>
      <c r="E84" s="15">
        <f t="shared" si="36"/>
        <v>0.2330153788</v>
      </c>
      <c r="F84" s="15">
        <f t="shared" si="36"/>
        <v>0.3593196261</v>
      </c>
      <c r="G84" s="15">
        <f t="shared" si="36"/>
        <v>0.07231217596</v>
      </c>
      <c r="H84" s="17">
        <f t="shared" si="36"/>
        <v>0.7677345328</v>
      </c>
      <c r="I84" s="15">
        <f t="shared" si="37"/>
        <v>1.242828358</v>
      </c>
      <c r="J84" s="15"/>
      <c r="K84" s="2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C85" s="1"/>
      <c r="D85" s="16">
        <f t="shared" ref="D85:H85" si="38">Rand()</f>
        <v>0.4130093299</v>
      </c>
      <c r="E85" s="15">
        <f t="shared" si="38"/>
        <v>0.1833320243</v>
      </c>
      <c r="F85" s="15">
        <f t="shared" si="38"/>
        <v>0.6095139075</v>
      </c>
      <c r="G85" s="15">
        <f t="shared" si="38"/>
        <v>0.4092060556</v>
      </c>
      <c r="H85" s="17">
        <f t="shared" si="38"/>
        <v>0.0279933556</v>
      </c>
      <c r="I85" s="15">
        <f t="shared" si="37"/>
        <v>0.743927765</v>
      </c>
      <c r="J85" s="15"/>
      <c r="K85" s="2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C86" s="1"/>
      <c r="D86" s="16">
        <f t="shared" ref="D86:H86" si="39">Rand()</f>
        <v>0.9728003916</v>
      </c>
      <c r="E86" s="15">
        <f t="shared" si="39"/>
        <v>0.1652266815</v>
      </c>
      <c r="F86" s="15">
        <f t="shared" si="39"/>
        <v>0.5987820204</v>
      </c>
      <c r="G86" s="15">
        <f t="shared" si="39"/>
        <v>0.7051364645</v>
      </c>
      <c r="H86" s="17">
        <f t="shared" si="39"/>
        <v>0.3241884733</v>
      </c>
      <c r="I86" s="15">
        <f t="shared" si="37"/>
        <v>1.934495966</v>
      </c>
      <c r="J86" s="15"/>
      <c r="K86" s="2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C87" s="1"/>
      <c r="D87" s="18">
        <f t="shared" ref="D87:H87" si="40">Rand()</f>
        <v>0.4436804587</v>
      </c>
      <c r="E87" s="19">
        <f t="shared" si="40"/>
        <v>0.004658370026</v>
      </c>
      <c r="F87" s="19">
        <f t="shared" si="40"/>
        <v>0.4578455108</v>
      </c>
      <c r="G87" s="19">
        <f t="shared" si="40"/>
        <v>0.2686629712</v>
      </c>
      <c r="H87" s="20">
        <f t="shared" si="40"/>
        <v>0.8875852149</v>
      </c>
      <c r="I87" s="15">
        <f t="shared" si="37"/>
        <v>1.266483867</v>
      </c>
      <c r="J87" s="15"/>
      <c r="K87" s="2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J88" s="2"/>
      <c r="K88" s="2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J89" s="2"/>
      <c r="K89" s="2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1" t="s">
        <v>5</v>
      </c>
      <c r="G90" s="22" t="s">
        <v>6</v>
      </c>
      <c r="H90" s="23">
        <f>1E-16</f>
        <v>0</v>
      </c>
      <c r="J90" s="2"/>
      <c r="K90" s="2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81"/>
      <c r="C92" s="97" t="s">
        <v>18</v>
      </c>
      <c r="D92" s="98">
        <f t="shared" ref="D92:H92" si="41">(D83)/($I83+$H$90)</f>
        <v>0.2608694991</v>
      </c>
      <c r="E92" s="99">
        <f t="shared" si="41"/>
        <v>0.3794274076</v>
      </c>
      <c r="F92" s="99">
        <f t="shared" si="41"/>
        <v>0.2134846245</v>
      </c>
      <c r="G92" s="99">
        <f t="shared" si="41"/>
        <v>0.3584515125</v>
      </c>
      <c r="H92" s="100">
        <f t="shared" si="41"/>
        <v>0.04475742083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81"/>
      <c r="C93" s="97" t="s">
        <v>8</v>
      </c>
      <c r="D93" s="101">
        <f t="shared" ref="D93:H93" si="42">(D84)/($I84+$H$90)</f>
        <v>0.5485431576</v>
      </c>
      <c r="E93" s="53">
        <f t="shared" si="42"/>
        <v>0.1874879803</v>
      </c>
      <c r="F93" s="53">
        <f t="shared" si="42"/>
        <v>0.289114441</v>
      </c>
      <c r="G93" s="53">
        <f t="shared" si="42"/>
        <v>0.05818355807</v>
      </c>
      <c r="H93" s="102">
        <f t="shared" si="42"/>
        <v>0.6177317468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81"/>
      <c r="C94" s="81"/>
      <c r="D94" s="101">
        <f t="shared" ref="D94:H94" si="43">(D85)/($I85+$H$90)</f>
        <v>0.555173969</v>
      </c>
      <c r="E94" s="53">
        <f t="shared" si="43"/>
        <v>0.2464379378</v>
      </c>
      <c r="F94" s="53">
        <f t="shared" si="43"/>
        <v>0.8193186706</v>
      </c>
      <c r="G94" s="53">
        <f t="shared" si="43"/>
        <v>0.5500615447</v>
      </c>
      <c r="H94" s="102">
        <f t="shared" si="43"/>
        <v>0.03762913137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81"/>
      <c r="C95" s="81"/>
      <c r="D95" s="101">
        <f t="shared" ref="D95:H95" si="44">(D86)/($I86+$H$90)</f>
        <v>0.5028702095</v>
      </c>
      <c r="E95" s="53">
        <f t="shared" si="44"/>
        <v>0.08541071391</v>
      </c>
      <c r="F95" s="53">
        <f t="shared" si="44"/>
        <v>0.3095286994</v>
      </c>
      <c r="G95" s="53">
        <f t="shared" si="44"/>
        <v>0.3645065572</v>
      </c>
      <c r="H95" s="102">
        <f t="shared" si="44"/>
        <v>0.1675829152</v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81"/>
      <c r="C96" s="81"/>
      <c r="D96" s="103">
        <f t="shared" ref="D96:H96" si="45">(D87)/($I87+$H$90)</f>
        <v>0.3503246035</v>
      </c>
      <c r="E96" s="104">
        <f t="shared" si="45"/>
        <v>0.003678191367</v>
      </c>
      <c r="F96" s="104">
        <f t="shared" si="45"/>
        <v>0.3615091535</v>
      </c>
      <c r="G96" s="104">
        <f t="shared" si="45"/>
        <v>0.2121329597</v>
      </c>
      <c r="H96" s="105">
        <f t="shared" si="45"/>
        <v>0.7008263096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106"/>
      <c r="C97" s="107"/>
      <c r="D97" s="15"/>
      <c r="E97" s="15"/>
      <c r="F97" s="15"/>
      <c r="G97" s="15"/>
      <c r="H97" s="15"/>
      <c r="I97" s="2"/>
      <c r="J97" s="2"/>
      <c r="K97" s="2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106"/>
      <c r="C98" s="107"/>
      <c r="D98" s="15"/>
      <c r="E98" s="15"/>
      <c r="F98" s="15"/>
      <c r="G98" s="15"/>
      <c r="H98" s="15"/>
      <c r="I98" s="2"/>
      <c r="J98" s="2"/>
      <c r="K98" s="2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108" t="s">
        <v>9</v>
      </c>
      <c r="F99" s="15"/>
      <c r="G99" s="109" t="s">
        <v>10</v>
      </c>
      <c r="H99" s="110">
        <v>0.5</v>
      </c>
      <c r="I99" s="2"/>
      <c r="J99" s="2"/>
      <c r="K99" s="2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F100" s="15"/>
      <c r="G100" s="109"/>
      <c r="H100" s="24"/>
      <c r="I100" s="2"/>
      <c r="J100" s="2"/>
      <c r="K100" s="2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106"/>
      <c r="C101" s="107"/>
      <c r="D101" s="15"/>
      <c r="E101" s="15"/>
      <c r="F101" s="15"/>
      <c r="G101" s="15"/>
      <c r="H101" s="15"/>
      <c r="I101" s="2"/>
      <c r="J101" s="2"/>
      <c r="K101" s="2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106"/>
      <c r="C102" s="109" t="s">
        <v>19</v>
      </c>
      <c r="D102" s="12">
        <f t="array" ref="D102:H106">H99*D92:H96</f>
        <v>0.1304347496</v>
      </c>
      <c r="E102" s="13">
        <v>0.18971370379612543</v>
      </c>
      <c r="F102" s="13">
        <v>0.10674231223885584</v>
      </c>
      <c r="G102" s="13">
        <v>0.17922575625233703</v>
      </c>
      <c r="H102" s="14">
        <v>0.02237871041483778</v>
      </c>
      <c r="I102" s="2"/>
      <c r="J102" s="2"/>
      <c r="K102" s="2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106"/>
      <c r="C103" s="107"/>
      <c r="D103" s="16">
        <v>0.27427157881310643</v>
      </c>
      <c r="E103" s="15">
        <v>0.09374399015757301</v>
      </c>
      <c r="F103" s="15">
        <v>0.144557220520581</v>
      </c>
      <c r="G103" s="15">
        <v>0.02909177903509902</v>
      </c>
      <c r="H103" s="17">
        <v>0.3088658734146059</v>
      </c>
      <c r="I103" s="2"/>
      <c r="J103" s="2"/>
      <c r="K103" s="2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106"/>
      <c r="C104" s="107"/>
      <c r="D104" s="16">
        <v>0.27758698449571206</v>
      </c>
      <c r="E104" s="15">
        <v>0.12321896888553659</v>
      </c>
      <c r="F104" s="15">
        <v>0.409659335322545</v>
      </c>
      <c r="G104" s="15">
        <v>0.2750307723497035</v>
      </c>
      <c r="H104" s="17">
        <v>0.018814565682552062</v>
      </c>
      <c r="I104" s="2"/>
      <c r="J104" s="2"/>
      <c r="K104" s="2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106"/>
      <c r="C105" s="107"/>
      <c r="D105" s="16">
        <v>0.25143510473659436</v>
      </c>
      <c r="E105" s="15">
        <v>0.042705356953011316</v>
      </c>
      <c r="F105" s="15">
        <v>0.15476434970803926</v>
      </c>
      <c r="G105" s="15">
        <v>0.18225327860072588</v>
      </c>
      <c r="H105" s="17">
        <v>0.0837914575773921</v>
      </c>
      <c r="I105" s="2"/>
      <c r="J105" s="2"/>
      <c r="K105" s="2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106"/>
      <c r="C106" s="107"/>
      <c r="D106" s="18">
        <v>0.17516230176416908</v>
      </c>
      <c r="E106" s="19">
        <v>0.001839095683261318</v>
      </c>
      <c r="F106" s="19">
        <v>0.18075457674648773</v>
      </c>
      <c r="G106" s="19">
        <v>0.10606647984976779</v>
      </c>
      <c r="H106" s="20">
        <v>0.3504131548077511</v>
      </c>
      <c r="I106" s="2"/>
      <c r="J106" s="2"/>
      <c r="K106" s="2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5"/>
      <c r="T107" s="6"/>
      <c r="U107" s="2"/>
      <c r="V107" s="2"/>
      <c r="W107" s="2"/>
      <c r="X107" s="2"/>
      <c r="Y107" s="2"/>
      <c r="Z107" s="2"/>
    </row>
    <row r="108">
      <c r="A108" s="3" t="s">
        <v>20</v>
      </c>
    </row>
    <row r="109"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5"/>
      <c r="T109" s="6"/>
      <c r="U109" s="2"/>
      <c r="V109" s="2"/>
      <c r="W109" s="2"/>
      <c r="X109" s="2"/>
      <c r="Y109" s="2"/>
      <c r="Z109" s="2"/>
    </row>
    <row r="110">
      <c r="B110" s="11" t="s">
        <v>4</v>
      </c>
      <c r="C110" s="12">
        <f t="shared" ref="C110:G110" si="46">Rand()</f>
        <v>0.3417738687</v>
      </c>
      <c r="D110" s="13">
        <f t="shared" si="46"/>
        <v>0.8544810604</v>
      </c>
      <c r="E110" s="13">
        <f t="shared" si="46"/>
        <v>0.02326494263</v>
      </c>
      <c r="F110" s="13">
        <f t="shared" si="46"/>
        <v>0.1652945779</v>
      </c>
      <c r="G110" s="14">
        <f t="shared" si="46"/>
        <v>0.2407751649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5"/>
      <c r="T110" s="6"/>
      <c r="U110" s="2"/>
      <c r="V110" s="2"/>
      <c r="W110" s="2"/>
      <c r="X110" s="2"/>
      <c r="Y110" s="2"/>
      <c r="Z110" s="2"/>
    </row>
    <row r="111">
      <c r="B111" s="1"/>
      <c r="C111" s="16">
        <f t="shared" ref="C111:G111" si="47">Rand()</f>
        <v>0.9236239056</v>
      </c>
      <c r="D111" s="15">
        <f t="shared" si="47"/>
        <v>0.04163148603</v>
      </c>
      <c r="E111" s="15">
        <f t="shared" si="47"/>
        <v>0.5287158725</v>
      </c>
      <c r="F111" s="15">
        <f t="shared" si="47"/>
        <v>0.5900025942</v>
      </c>
      <c r="G111" s="17">
        <f t="shared" si="47"/>
        <v>0.06305787533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5"/>
      <c r="T111" s="6"/>
      <c r="U111" s="2"/>
      <c r="V111" s="2"/>
      <c r="W111" s="2"/>
      <c r="X111" s="2"/>
      <c r="Y111" s="2"/>
      <c r="Z111" s="2"/>
    </row>
    <row r="112">
      <c r="B112" s="1"/>
      <c r="C112" s="16">
        <f t="shared" ref="C112:G112" si="48">Rand()</f>
        <v>0.5698733269</v>
      </c>
      <c r="D112" s="15">
        <f t="shared" si="48"/>
        <v>0.553522805</v>
      </c>
      <c r="E112" s="15">
        <f t="shared" si="48"/>
        <v>0.6570231118</v>
      </c>
      <c r="F112" s="15">
        <f t="shared" si="48"/>
        <v>0.1507379838</v>
      </c>
      <c r="G112" s="17">
        <f t="shared" si="48"/>
        <v>0.01763513028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5"/>
      <c r="T112" s="6"/>
      <c r="U112" s="2"/>
      <c r="V112" s="2"/>
      <c r="W112" s="2"/>
      <c r="X112" s="2"/>
      <c r="Y112" s="2"/>
      <c r="Z112" s="2"/>
    </row>
    <row r="113">
      <c r="B113" s="1"/>
      <c r="C113" s="16">
        <f t="shared" ref="C113:G113" si="49">Rand()</f>
        <v>0.8485925798</v>
      </c>
      <c r="D113" s="15">
        <f t="shared" si="49"/>
        <v>0.4346774594</v>
      </c>
      <c r="E113" s="15">
        <f t="shared" si="49"/>
        <v>0.4640759201</v>
      </c>
      <c r="F113" s="15">
        <f t="shared" si="49"/>
        <v>0.4535124454</v>
      </c>
      <c r="G113" s="17">
        <f t="shared" si="49"/>
        <v>0.6287839079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5"/>
      <c r="T113" s="6"/>
      <c r="U113" s="2"/>
      <c r="V113" s="2"/>
      <c r="W113" s="2"/>
      <c r="X113" s="2"/>
      <c r="Y113" s="2"/>
      <c r="Z113" s="2"/>
    </row>
    <row r="114">
      <c r="B114" s="1"/>
      <c r="C114" s="18">
        <f t="shared" ref="C114:G114" si="50">Rand()</f>
        <v>0.5923128431</v>
      </c>
      <c r="D114" s="19">
        <f t="shared" si="50"/>
        <v>0.8477016798</v>
      </c>
      <c r="E114" s="19">
        <f t="shared" si="50"/>
        <v>0.5373478021</v>
      </c>
      <c r="F114" s="19">
        <f t="shared" si="50"/>
        <v>0.9893132235</v>
      </c>
      <c r="G114" s="20">
        <f t="shared" si="50"/>
        <v>0.6054988031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5"/>
      <c r="T114" s="6"/>
      <c r="U114" s="2"/>
      <c r="V114" s="2"/>
      <c r="W114" s="2"/>
      <c r="X114" s="2"/>
      <c r="Y114" s="2"/>
      <c r="Z114" s="2"/>
    </row>
    <row r="115"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5"/>
      <c r="T115" s="6"/>
      <c r="U115" s="2"/>
      <c r="V115" s="2"/>
      <c r="W115" s="2"/>
      <c r="X115" s="2"/>
      <c r="Y115" s="2"/>
      <c r="Z115" s="2"/>
    </row>
    <row r="116">
      <c r="C116" s="118" t="s">
        <v>19</v>
      </c>
      <c r="D116" s="2"/>
      <c r="E116" s="2"/>
      <c r="F116" s="2"/>
      <c r="G116" s="2"/>
      <c r="H116" s="2"/>
      <c r="J116" s="11" t="s">
        <v>15</v>
      </c>
      <c r="K116" s="2"/>
      <c r="L116" s="2"/>
      <c r="M116" s="2"/>
      <c r="N116" s="2"/>
      <c r="O116" s="118" t="s">
        <v>12</v>
      </c>
      <c r="P116" s="2"/>
      <c r="Q116" s="2"/>
      <c r="R116" s="2"/>
      <c r="S116" s="5"/>
      <c r="T116" s="6"/>
      <c r="U116" s="2"/>
      <c r="V116" s="2"/>
      <c r="W116" s="2"/>
      <c r="X116" s="2"/>
      <c r="Y116" s="2"/>
      <c r="Z116" s="2"/>
    </row>
    <row r="117">
      <c r="C117" s="125">
        <f t="array" ref="C117:G121">LET(x,C110:G114,rms,SQRT(MMULT(x^2,SEQUENCE(5,1,1/5,0))),x/rms)</f>
        <v>0.7912859056</v>
      </c>
      <c r="D117" s="126">
        <v>1.9783221644908981</v>
      </c>
      <c r="E117" s="126">
        <v>0.053863746999258964</v>
      </c>
      <c r="F117" s="126">
        <v>0.38269534843706354</v>
      </c>
      <c r="G117" s="127">
        <v>0.557450442737173</v>
      </c>
      <c r="H117" s="2"/>
      <c r="I117" s="12">
        <f t="array" ref="I117:M121">LET(x,C110:G114,mu,MMULT(SEQUENCE(1,5,1/5,0),x),c,x-mu,v,MMULT(SEQUENCE(1,5,1/5,0),c^2),c/SQRT(v))</f>
        <v>-1.498038508</v>
      </c>
      <c r="J117" s="13">
        <v>1.0234979171259784</v>
      </c>
      <c r="K117" s="13">
        <v>-1.9169560578701865</v>
      </c>
      <c r="L117" s="13">
        <v>-0.9835868581893046</v>
      </c>
      <c r="M117" s="14">
        <v>-0.26980213346636245</v>
      </c>
      <c r="O117" s="136">
        <f t="shared" ref="O117:S117" si="51">(C110-AVERAGE($C110:$G110))/STDEVP($C110:$G110)</f>
        <v>0.05857546751</v>
      </c>
      <c r="P117" s="139">
        <f t="shared" si="51"/>
        <v>1.861659112</v>
      </c>
      <c r="Q117" s="139">
        <f t="shared" si="51"/>
        <v>-1.061553613</v>
      </c>
      <c r="R117" s="139">
        <f t="shared" si="51"/>
        <v>-0.5620651789</v>
      </c>
      <c r="S117" s="140">
        <f t="shared" si="51"/>
        <v>-0.2966157876</v>
      </c>
      <c r="T117" s="6"/>
      <c r="U117" s="2"/>
      <c r="V117" s="2"/>
      <c r="W117" s="2"/>
      <c r="X117" s="2"/>
      <c r="Y117" s="2"/>
      <c r="Z117" s="2"/>
    </row>
    <row r="118">
      <c r="C118" s="141">
        <v>1.6939763111602992</v>
      </c>
      <c r="D118" s="142">
        <v>0.07635440215388853</v>
      </c>
      <c r="E118" s="142">
        <v>0.9696935711270595</v>
      </c>
      <c r="F118" s="142">
        <v>1.0820967410107676</v>
      </c>
      <c r="G118" s="143">
        <v>0.11565156163318142</v>
      </c>
      <c r="H118" s="2"/>
      <c r="I118" s="16">
        <v>1.2826345210058279</v>
      </c>
      <c r="J118" s="15">
        <v>-1.6769526444968714</v>
      </c>
      <c r="K118" s="15">
        <v>0.39651002205971214</v>
      </c>
      <c r="L118" s="15">
        <v>0.3883933505013456</v>
      </c>
      <c r="M118" s="17">
        <v>-0.951130675159199</v>
      </c>
      <c r="O118" s="148">
        <f t="shared" ref="O118:S118" si="52">(C111-AVERAGE($C111:$G111))/STDEVP($C111:$G111)</f>
        <v>1.470878977</v>
      </c>
      <c r="P118" s="106">
        <f t="shared" si="52"/>
        <v>-1.154086657</v>
      </c>
      <c r="Q118" s="106">
        <f t="shared" si="52"/>
        <v>0.2955627356</v>
      </c>
      <c r="R118" s="106">
        <f t="shared" si="52"/>
        <v>0.4779628728</v>
      </c>
      <c r="S118" s="150">
        <f t="shared" si="52"/>
        <v>-1.090317928</v>
      </c>
      <c r="T118" s="6"/>
      <c r="U118" s="2"/>
      <c r="V118" s="2"/>
      <c r="W118" s="2"/>
      <c r="X118" s="2"/>
      <c r="Y118" s="2"/>
      <c r="Z118" s="2"/>
    </row>
    <row r="119">
      <c r="C119" s="141">
        <v>1.2228616696648802</v>
      </c>
      <c r="D119" s="142">
        <v>1.1877759311974594</v>
      </c>
      <c r="E119" s="142">
        <v>1.409871881162388</v>
      </c>
      <c r="F119" s="142">
        <v>0.3234608356193068</v>
      </c>
      <c r="G119" s="143">
        <v>0.03784231309682311</v>
      </c>
      <c r="H119" s="2"/>
      <c r="I119" s="16">
        <v>-0.40794660914056163</v>
      </c>
      <c r="J119" s="15">
        <v>0.0236537696843704</v>
      </c>
      <c r="K119" s="15">
        <v>0.9837766155502393</v>
      </c>
      <c r="L119" s="15">
        <v>-1.0306105974954474</v>
      </c>
      <c r="M119" s="17">
        <v>-1.1252713719691676</v>
      </c>
      <c r="O119" s="148">
        <f t="shared" ref="O119:S119" si="53">(C112-AVERAGE($C112:$G112))/STDEVP($C112:$G112)</f>
        <v>0.7050630279</v>
      </c>
      <c r="P119" s="106">
        <f t="shared" si="53"/>
        <v>0.6410585989</v>
      </c>
      <c r="Q119" s="106">
        <f t="shared" si="53"/>
        <v>1.046212519</v>
      </c>
      <c r="R119" s="106">
        <f t="shared" si="53"/>
        <v>-0.9356502466</v>
      </c>
      <c r="S119" s="150">
        <f t="shared" si="53"/>
        <v>-1.456683899</v>
      </c>
      <c r="T119" s="6"/>
      <c r="U119" s="2"/>
      <c r="V119" s="2"/>
      <c r="W119" s="2"/>
      <c r="X119" s="2"/>
      <c r="Y119" s="2"/>
      <c r="Z119" s="2"/>
    </row>
    <row r="120">
      <c r="C120" s="141">
        <v>1.4445460762761728</v>
      </c>
      <c r="D120" s="142">
        <v>0.7399447430252879</v>
      </c>
      <c r="E120" s="142">
        <v>0.7899892898333971</v>
      </c>
      <c r="F120" s="142">
        <v>0.7720072495996576</v>
      </c>
      <c r="G120" s="143">
        <v>1.0703691602893142</v>
      </c>
      <c r="H120" s="2"/>
      <c r="I120" s="16">
        <v>0.9240583057755386</v>
      </c>
      <c r="J120" s="15">
        <v>-0.37117448709778766</v>
      </c>
      <c r="K120" s="15">
        <v>0.10065076340848038</v>
      </c>
      <c r="L120" s="15">
        <v>-0.05252552953117512</v>
      </c>
      <c r="M120" s="17">
        <v>1.2177370455160035</v>
      </c>
      <c r="O120" s="148">
        <f t="shared" ref="O120:S120" si="54">(C113-AVERAGE($C113:$G113))/STDEVP($C113:$G113)</f>
        <v>1.794282825</v>
      </c>
      <c r="P120" s="106">
        <f t="shared" si="54"/>
        <v>-0.8331493327</v>
      </c>
      <c r="Q120" s="106">
        <f t="shared" si="54"/>
        <v>-0.6465350795</v>
      </c>
      <c r="R120" s="106">
        <f t="shared" si="54"/>
        <v>-0.7135894385</v>
      </c>
      <c r="S120" s="150">
        <f t="shared" si="54"/>
        <v>0.398991026</v>
      </c>
      <c r="T120" s="6"/>
      <c r="U120" s="2"/>
      <c r="V120" s="2"/>
      <c r="W120" s="2"/>
      <c r="X120" s="2"/>
      <c r="Y120" s="2"/>
      <c r="Z120" s="2"/>
    </row>
    <row r="121">
      <c r="C121" s="151">
        <v>0.8055070945540653</v>
      </c>
      <c r="D121" s="152">
        <v>1.1528193675002323</v>
      </c>
      <c r="E121" s="152">
        <v>0.7307581995723408</v>
      </c>
      <c r="F121" s="152">
        <v>1.345401892853554</v>
      </c>
      <c r="G121" s="153">
        <v>0.8234391459016859</v>
      </c>
      <c r="H121" s="2"/>
      <c r="I121" s="18">
        <v>-0.30070771003592534</v>
      </c>
      <c r="J121" s="19">
        <v>1.0009754447843098</v>
      </c>
      <c r="K121" s="19">
        <v>0.43601865685175434</v>
      </c>
      <c r="L121" s="19">
        <v>1.678329634714581</v>
      </c>
      <c r="M121" s="20">
        <v>1.1284671350787254</v>
      </c>
      <c r="O121" s="154">
        <f t="shared" ref="O121:S121" si="55">(C114-AVERAGE($C114:$G114))/STDEVP($C114:$G114)</f>
        <v>-0.7016680431</v>
      </c>
      <c r="P121" s="155">
        <f t="shared" si="55"/>
        <v>0.765701844</v>
      </c>
      <c r="Q121" s="155">
        <f t="shared" si="55"/>
        <v>-1.017476859</v>
      </c>
      <c r="R121" s="155">
        <f t="shared" si="55"/>
        <v>1.579349447</v>
      </c>
      <c r="S121" s="157">
        <f t="shared" si="55"/>
        <v>-0.6259063894</v>
      </c>
      <c r="T121" s="6"/>
      <c r="U121" s="2"/>
      <c r="V121" s="2"/>
      <c r="W121" s="2"/>
      <c r="X121" s="2"/>
      <c r="Y121" s="2"/>
      <c r="Z121" s="2"/>
    </row>
    <row r="122"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5"/>
      <c r="T122" s="6"/>
      <c r="U122" s="2"/>
      <c r="V122" s="2"/>
      <c r="W122" s="2"/>
      <c r="X122" s="2"/>
      <c r="Y122" s="2"/>
      <c r="Z122" s="2"/>
    </row>
    <row r="123"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5"/>
      <c r="T123" s="6"/>
      <c r="U123" s="2"/>
      <c r="V123" s="2"/>
      <c r="W123" s="2"/>
      <c r="X123" s="2"/>
      <c r="Y123" s="2"/>
      <c r="Z123" s="2"/>
    </row>
    <row r="124"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5"/>
      <c r="T124" s="6"/>
      <c r="U124" s="2"/>
      <c r="V124" s="2"/>
      <c r="W124" s="2"/>
      <c r="X124" s="2"/>
      <c r="Y124" s="2"/>
      <c r="Z124" s="2"/>
    </row>
    <row r="125">
      <c r="A125" s="158" t="s">
        <v>23</v>
      </c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22" t="s">
        <v>4</v>
      </c>
      <c r="C127" s="12">
        <f t="shared" ref="C127:G127" si="56">NORMINV(rand(),0, sqrt(2/5))</f>
        <v>0.06950294079</v>
      </c>
      <c r="D127" s="13">
        <f t="shared" si="56"/>
        <v>-0.5680931577</v>
      </c>
      <c r="E127" s="13">
        <f t="shared" si="56"/>
        <v>-0.7867797573</v>
      </c>
      <c r="F127" s="13">
        <f t="shared" si="56"/>
        <v>-0.05188969456</v>
      </c>
      <c r="G127" s="14">
        <f t="shared" si="56"/>
        <v>-0.7645980603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16">
        <f t="shared" ref="C128:G128" si="57">NORMINV(rand(),0, sqrt(2/5))</f>
        <v>0.7184634309</v>
      </c>
      <c r="D128" s="15">
        <f t="shared" si="57"/>
        <v>0.1417805219</v>
      </c>
      <c r="E128" s="15">
        <f t="shared" si="57"/>
        <v>0.09804373518</v>
      </c>
      <c r="F128" s="15">
        <f t="shared" si="57"/>
        <v>1.070471647</v>
      </c>
      <c r="G128" s="17">
        <f t="shared" si="57"/>
        <v>0.1202508429</v>
      </c>
      <c r="H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16">
        <f t="shared" ref="C129:G129" si="58">NORMINV(rand(),0, sqrt(2/5))</f>
        <v>-0.3479840223</v>
      </c>
      <c r="D129" s="15">
        <f t="shared" si="58"/>
        <v>0.1037998847</v>
      </c>
      <c r="E129" s="15">
        <f t="shared" si="58"/>
        <v>-0.5353041633</v>
      </c>
      <c r="F129" s="15">
        <f t="shared" si="58"/>
        <v>0.1010915253</v>
      </c>
      <c r="G129" s="17">
        <f t="shared" si="58"/>
        <v>0.01750707271</v>
      </c>
      <c r="H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16">
        <f t="shared" ref="C130:G130" si="59">NORMINV(rand(),0, sqrt(2/5))</f>
        <v>-0.637656106</v>
      </c>
      <c r="D130" s="15">
        <f t="shared" si="59"/>
        <v>0.3925419502</v>
      </c>
      <c r="E130" s="15">
        <f t="shared" si="59"/>
        <v>0.345181091</v>
      </c>
      <c r="F130" s="15">
        <f t="shared" si="59"/>
        <v>-0.9363359293</v>
      </c>
      <c r="G130" s="17">
        <f t="shared" si="59"/>
        <v>0.5607197993</v>
      </c>
      <c r="H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18">
        <f t="shared" ref="C131:G131" si="60">NORMINV(rand(),0, sqrt(2/5))</f>
        <v>0.1293531666</v>
      </c>
      <c r="D131" s="19">
        <f t="shared" si="60"/>
        <v>-0.2717353476</v>
      </c>
      <c r="E131" s="19">
        <f t="shared" si="60"/>
        <v>-0.548011427</v>
      </c>
      <c r="F131" s="19">
        <f t="shared" si="60"/>
        <v>-0.2726100326</v>
      </c>
      <c r="G131" s="20">
        <f t="shared" si="60"/>
        <v>1.236157459</v>
      </c>
      <c r="H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E132" s="4" t="s">
        <v>24</v>
      </c>
      <c r="H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22"/>
      <c r="C133" s="2"/>
      <c r="D133" s="2"/>
      <c r="E133" s="4" t="s">
        <v>24</v>
      </c>
      <c r="F133" s="2"/>
      <c r="G133" s="2"/>
      <c r="H133" s="2"/>
      <c r="I133" s="2"/>
      <c r="J133" s="2"/>
      <c r="K133" s="2"/>
      <c r="L133" s="2"/>
      <c r="S133" s="43"/>
      <c r="T133" s="43"/>
      <c r="U133" s="43"/>
      <c r="V133" s="43"/>
      <c r="W133" s="43"/>
      <c r="X133" s="2"/>
      <c r="Y133" s="2"/>
      <c r="Z133" s="2"/>
    </row>
    <row r="134">
      <c r="B134" s="22" t="s">
        <v>25</v>
      </c>
      <c r="C134" s="12">
        <f t="array" ref="C134:G143">MMULT(J134:N143,C127:G131)</f>
        <v>-0.1012010369</v>
      </c>
      <c r="D134" s="13">
        <v>0.1255144787448456</v>
      </c>
      <c r="E134" s="13">
        <v>1.1250297628068748</v>
      </c>
      <c r="F134" s="13">
        <v>-0.5309117610876344</v>
      </c>
      <c r="G134" s="14">
        <v>-1.120293601770682</v>
      </c>
      <c r="H134" s="2"/>
      <c r="I134" s="22" t="s">
        <v>26</v>
      </c>
      <c r="J134" s="39">
        <f t="shared" ref="J134:N134" si="61">NORMINV(rand(),0, sqrt(2/5))</f>
        <v>0.222118222</v>
      </c>
      <c r="K134" s="40">
        <f t="shared" si="61"/>
        <v>-0.2322143546</v>
      </c>
      <c r="L134" s="40">
        <f t="shared" si="61"/>
        <v>-1.257761017</v>
      </c>
      <c r="M134" s="40">
        <f t="shared" si="61"/>
        <v>0.4211370991</v>
      </c>
      <c r="N134" s="41">
        <f t="shared" si="61"/>
        <v>-0.9195096109</v>
      </c>
      <c r="S134" s="43"/>
      <c r="T134" s="43"/>
      <c r="U134" s="43"/>
      <c r="V134" s="43"/>
      <c r="W134" s="43"/>
      <c r="X134" s="2"/>
      <c r="Y134" s="2"/>
      <c r="Z134" s="2"/>
    </row>
    <row r="135">
      <c r="C135" s="16">
        <v>-0.9763581135951118</v>
      </c>
      <c r="D135" s="15">
        <v>0.8482949567995299</v>
      </c>
      <c r="E135" s="15">
        <v>0.43838134939746376</v>
      </c>
      <c r="F135" s="15">
        <v>-0.7524997600020406</v>
      </c>
      <c r="G135" s="17">
        <v>1.401681949924851</v>
      </c>
      <c r="H135" s="2"/>
      <c r="I135" s="22" t="s">
        <v>27</v>
      </c>
      <c r="J135" s="42">
        <f t="shared" ref="J135:N135" si="62">NORMINV(rand(),0, sqrt(2/5))</f>
        <v>-1.233054858</v>
      </c>
      <c r="K135" s="43">
        <f t="shared" si="62"/>
        <v>-0.4333366522</v>
      </c>
      <c r="L135" s="43">
        <f t="shared" si="62"/>
        <v>0.9715312314</v>
      </c>
      <c r="M135" s="43">
        <f t="shared" si="62"/>
        <v>0.420684058</v>
      </c>
      <c r="N135" s="44">
        <f t="shared" si="62"/>
        <v>0.2087963348</v>
      </c>
      <c r="S135" s="43"/>
      <c r="T135" s="43"/>
      <c r="U135" s="43"/>
      <c r="V135" s="43"/>
      <c r="W135" s="43"/>
      <c r="X135" s="2"/>
      <c r="Y135" s="2"/>
      <c r="Z135" s="2"/>
    </row>
    <row r="136">
      <c r="C136" s="16">
        <v>0.5008442150560883</v>
      </c>
      <c r="D136" s="15">
        <v>-0.6199618767890538</v>
      </c>
      <c r="E136" s="15">
        <v>-1.0363043461342176</v>
      </c>
      <c r="F136" s="15">
        <v>0.30205014233451233</v>
      </c>
      <c r="G136" s="17">
        <v>0.40514538957928414</v>
      </c>
      <c r="H136" s="2"/>
      <c r="I136" s="1"/>
      <c r="J136" s="42">
        <f t="shared" ref="J136:N136" si="63">NORMINV(rand(),0, sqrt(2/5))</f>
        <v>0.6893695504</v>
      </c>
      <c r="K136" s="43">
        <f t="shared" si="63"/>
        <v>0.3599855514</v>
      </c>
      <c r="L136" s="43">
        <f t="shared" si="63"/>
        <v>0.059060555</v>
      </c>
      <c r="M136" s="43">
        <f t="shared" si="63"/>
        <v>-0.1751096868</v>
      </c>
      <c r="N136" s="44">
        <f t="shared" si="63"/>
        <v>0.7977146669</v>
      </c>
      <c r="S136" s="43"/>
      <c r="T136" s="43"/>
      <c r="U136" s="43"/>
      <c r="V136" s="43"/>
      <c r="W136" s="43"/>
      <c r="X136" s="2"/>
      <c r="Y136" s="2"/>
      <c r="Z136" s="2"/>
    </row>
    <row r="137">
      <c r="C137" s="16">
        <v>-0.39130035680519115</v>
      </c>
      <c r="D137" s="15">
        <v>-0.3970616384595882</v>
      </c>
      <c r="E137" s="15">
        <v>0.606146532573156</v>
      </c>
      <c r="F137" s="15">
        <v>-1.72723184926726</v>
      </c>
      <c r="G137" s="17">
        <v>0.17885680503636348</v>
      </c>
      <c r="I137" s="1"/>
      <c r="J137" s="42">
        <f t="shared" ref="J137:N137" si="64">NORMINV(rand(),0, sqrt(2/5))</f>
        <v>0.07386302732</v>
      </c>
      <c r="K137" s="43">
        <f t="shared" si="64"/>
        <v>-1.248604493</v>
      </c>
      <c r="L137" s="43">
        <f t="shared" si="64"/>
        <v>-1.634802817</v>
      </c>
      <c r="M137" s="43">
        <f t="shared" si="64"/>
        <v>0.1602320651</v>
      </c>
      <c r="N137" s="44">
        <f t="shared" si="64"/>
        <v>0.2623075185</v>
      </c>
      <c r="S137" s="43"/>
      <c r="T137" s="43"/>
      <c r="U137" s="43"/>
      <c r="V137" s="43"/>
      <c r="W137" s="43"/>
      <c r="X137" s="2"/>
      <c r="Y137" s="2"/>
      <c r="Z137" s="2"/>
    </row>
    <row r="138">
      <c r="C138" s="16">
        <v>0.18419551480827395</v>
      </c>
      <c r="D138" s="15">
        <v>-0.04022125707848789</v>
      </c>
      <c r="E138" s="15">
        <v>0.26624990078194877</v>
      </c>
      <c r="F138" s="15">
        <v>0.3344888946053134</v>
      </c>
      <c r="G138" s="17">
        <v>-1.1557409675770864</v>
      </c>
      <c r="I138" s="1"/>
      <c r="J138" s="42">
        <f t="shared" ref="J138:N138" si="65">NORMINV(rand(),0, sqrt(2/5))</f>
        <v>0.409095381</v>
      </c>
      <c r="K138" s="43">
        <f t="shared" si="65"/>
        <v>0.1991494937</v>
      </c>
      <c r="L138" s="43">
        <f t="shared" si="65"/>
        <v>-0.3299047673</v>
      </c>
      <c r="M138" s="43">
        <f t="shared" si="65"/>
        <v>0.01725089113</v>
      </c>
      <c r="N138" s="44">
        <f t="shared" si="65"/>
        <v>-0.7044349976</v>
      </c>
      <c r="S138" s="43"/>
      <c r="T138" s="43"/>
      <c r="U138" s="43"/>
      <c r="V138" s="43"/>
      <c r="W138" s="43"/>
      <c r="X138" s="2"/>
      <c r="Y138" s="2"/>
      <c r="Z138" s="2"/>
    </row>
    <row r="139">
      <c r="C139" s="16">
        <v>0.5714757985260857</v>
      </c>
      <c r="D139" s="15">
        <v>-0.3991354701323279</v>
      </c>
      <c r="E139" s="15">
        <v>-0.23901802491379728</v>
      </c>
      <c r="F139" s="15">
        <v>0.6294730893681724</v>
      </c>
      <c r="G139" s="17">
        <v>-0.5714954718034738</v>
      </c>
      <c r="H139" s="159" t="s">
        <v>28</v>
      </c>
      <c r="I139" s="159" t="s">
        <v>28</v>
      </c>
      <c r="J139" s="42">
        <f t="shared" ref="J139:N139" si="66">NORMINV(rand(),0, sqrt(2/5))</f>
        <v>0.2767046827</v>
      </c>
      <c r="K139" s="43">
        <f t="shared" si="66"/>
        <v>0.102762908</v>
      </c>
      <c r="L139" s="43">
        <f t="shared" si="66"/>
        <v>-0.2963446521</v>
      </c>
      <c r="M139" s="43">
        <f t="shared" si="66"/>
        <v>-0.5941185538</v>
      </c>
      <c r="N139" s="44">
        <f t="shared" si="66"/>
        <v>-0.02747446981</v>
      </c>
      <c r="S139" s="43"/>
      <c r="T139" s="43"/>
      <c r="U139" s="43"/>
      <c r="V139" s="43"/>
      <c r="W139" s="43"/>
      <c r="X139" s="2"/>
      <c r="Y139" s="2"/>
      <c r="Z139" s="2"/>
    </row>
    <row r="140">
      <c r="C140" s="16">
        <v>0.18836112204900282</v>
      </c>
      <c r="D140" s="15">
        <v>0.20020675558482512</v>
      </c>
      <c r="E140" s="15">
        <v>0.384044188765083</v>
      </c>
      <c r="F140" s="15">
        <v>0.6627280172946614</v>
      </c>
      <c r="G140" s="17">
        <v>-0.32860433344234374</v>
      </c>
      <c r="I140" s="1"/>
      <c r="J140" s="42">
        <f t="shared" ref="J140:N140" si="67">NORMINV(rand(),0, sqrt(2/5))</f>
        <v>-0.731619772</v>
      </c>
      <c r="K140" s="43">
        <f t="shared" si="67"/>
        <v>-0.1974937482</v>
      </c>
      <c r="L140" s="43">
        <f t="shared" si="67"/>
        <v>0.1856010801</v>
      </c>
      <c r="M140" s="43">
        <f t="shared" si="67"/>
        <v>-0.7704177655</v>
      </c>
      <c r="N140" s="44">
        <f t="shared" si="67"/>
        <v>-0.352310651</v>
      </c>
      <c r="S140" s="43"/>
      <c r="T140" s="43"/>
      <c r="U140" s="43"/>
      <c r="V140" s="43"/>
      <c r="W140" s="43"/>
      <c r="X140" s="2"/>
      <c r="Y140" s="2"/>
      <c r="Z140" s="2"/>
    </row>
    <row r="141">
      <c r="C141" s="16">
        <v>-1.3397783084943762</v>
      </c>
      <c r="D141" s="15">
        <v>-0.3133522414722715</v>
      </c>
      <c r="E141" s="15">
        <v>-0.7662709821835938</v>
      </c>
      <c r="F141" s="15">
        <v>-1.7094925833391657</v>
      </c>
      <c r="G141" s="17">
        <v>-0.1402638730164377</v>
      </c>
      <c r="I141" s="1"/>
      <c r="J141" s="42">
        <f t="shared" ref="J141:N141" si="68">NORMINV(rand(),0, sqrt(2/5))</f>
        <v>0.2726559723</v>
      </c>
      <c r="K141" s="43">
        <f t="shared" si="68"/>
        <v>-1.529926556</v>
      </c>
      <c r="L141" s="43">
        <f t="shared" si="68"/>
        <v>0.6463287552</v>
      </c>
      <c r="M141" s="43">
        <f t="shared" si="68"/>
        <v>0.08591477683</v>
      </c>
      <c r="N141" s="44">
        <f t="shared" si="68"/>
        <v>0.1558813322</v>
      </c>
      <c r="S141" s="43"/>
      <c r="T141" s="43"/>
      <c r="U141" s="43"/>
      <c r="V141" s="43"/>
      <c r="W141" s="43"/>
      <c r="X141" s="2"/>
      <c r="Y141" s="2"/>
      <c r="Z141" s="2"/>
    </row>
    <row r="142">
      <c r="C142" s="16">
        <v>-1.4403268055817284</v>
      </c>
      <c r="D142" s="15">
        <v>0.0776010222874094</v>
      </c>
      <c r="E142" s="15">
        <v>-0.14479154433361713</v>
      </c>
      <c r="F142" s="15">
        <v>-2.1681265130224383</v>
      </c>
      <c r="G142" s="17">
        <v>1.152969507400035</v>
      </c>
      <c r="I142" s="1"/>
      <c r="J142" s="42">
        <f t="shared" ref="J142:N142" si="69">NORMINV(rand(),0, sqrt(2/5))</f>
        <v>-0.4203339923</v>
      </c>
      <c r="K142" s="43">
        <f t="shared" si="69"/>
        <v>-1.508709375</v>
      </c>
      <c r="L142" s="43">
        <f t="shared" si="69"/>
        <v>0.3001267956</v>
      </c>
      <c r="M142" s="43">
        <f t="shared" si="69"/>
        <v>0.4712891543</v>
      </c>
      <c r="N142" s="44">
        <f t="shared" si="69"/>
        <v>0.6014533335</v>
      </c>
      <c r="S142" s="43"/>
      <c r="T142" s="43"/>
      <c r="U142" s="43"/>
      <c r="V142" s="43"/>
      <c r="W142" s="43"/>
      <c r="X142" s="2"/>
      <c r="Y142" s="2"/>
      <c r="Z142" s="2"/>
    </row>
    <row r="143">
      <c r="C143" s="18">
        <v>0.9298766555853232</v>
      </c>
      <c r="D143" s="19">
        <v>0.41381816278013256</v>
      </c>
      <c r="E143" s="19">
        <v>-0.15496985067696162</v>
      </c>
      <c r="F143" s="19">
        <v>2.45510647072168</v>
      </c>
      <c r="G143" s="20">
        <v>-0.7994548043166627</v>
      </c>
      <c r="I143" s="1"/>
      <c r="J143" s="45">
        <f t="shared" ref="J143:N143" si="70">NORMINV(rand(),0, sqrt(2/5))</f>
        <v>-0.1846858987</v>
      </c>
      <c r="K143" s="46">
        <f t="shared" si="70"/>
        <v>1.522930339</v>
      </c>
      <c r="L143" s="46">
        <f t="shared" si="70"/>
        <v>1.182646626</v>
      </c>
      <c r="M143" s="46">
        <f t="shared" si="70"/>
        <v>-0.545498995</v>
      </c>
      <c r="N143" s="47">
        <f t="shared" si="70"/>
        <v>-0.6784180514</v>
      </c>
      <c r="X143" s="2"/>
      <c r="Y143" s="2"/>
      <c r="Z143" s="2"/>
    </row>
    <row r="144">
      <c r="E144" s="4" t="s">
        <v>24</v>
      </c>
      <c r="X144" s="2"/>
      <c r="Y144" s="2"/>
      <c r="Z144" s="2"/>
    </row>
    <row r="145">
      <c r="E145" s="4" t="s">
        <v>24</v>
      </c>
      <c r="X145" s="2"/>
      <c r="Y145" s="2"/>
      <c r="Z145" s="2"/>
    </row>
    <row r="146">
      <c r="B146" s="22" t="s">
        <v>29</v>
      </c>
      <c r="C146" s="12">
        <f t="shared" ref="C146:G146" si="71">Max(0,C134)</f>
        <v>0</v>
      </c>
      <c r="D146" s="13">
        <f t="shared" si="71"/>
        <v>0.1255144787</v>
      </c>
      <c r="E146" s="13">
        <f t="shared" si="71"/>
        <v>1.125029763</v>
      </c>
      <c r="F146" s="13">
        <f t="shared" si="71"/>
        <v>0</v>
      </c>
      <c r="G146" s="14">
        <f t="shared" si="71"/>
        <v>0</v>
      </c>
      <c r="X146" s="2"/>
      <c r="Y146" s="2"/>
      <c r="Z146" s="2"/>
    </row>
    <row r="147">
      <c r="C147" s="16">
        <f t="shared" ref="C147:G147" si="72">Max(0,C135)</f>
        <v>0</v>
      </c>
      <c r="D147" s="15">
        <f t="shared" si="72"/>
        <v>0.8482949568</v>
      </c>
      <c r="E147" s="15">
        <f t="shared" si="72"/>
        <v>0.4383813494</v>
      </c>
      <c r="F147" s="15">
        <f t="shared" si="72"/>
        <v>0</v>
      </c>
      <c r="G147" s="17">
        <f t="shared" si="72"/>
        <v>1.40168195</v>
      </c>
      <c r="X147" s="2"/>
      <c r="Y147" s="2"/>
      <c r="Z147" s="2"/>
    </row>
    <row r="148">
      <c r="C148" s="16">
        <f t="shared" ref="C148:G148" si="73">Max(0,C136)</f>
        <v>0.5008442151</v>
      </c>
      <c r="D148" s="15">
        <f t="shared" si="73"/>
        <v>0</v>
      </c>
      <c r="E148" s="15">
        <f t="shared" si="73"/>
        <v>0</v>
      </c>
      <c r="F148" s="15">
        <f t="shared" si="73"/>
        <v>0.3020501423</v>
      </c>
      <c r="G148" s="17">
        <f t="shared" si="73"/>
        <v>0.4051453896</v>
      </c>
      <c r="X148" s="2"/>
      <c r="Y148" s="2"/>
      <c r="Z148" s="2"/>
    </row>
    <row r="149">
      <c r="C149" s="16">
        <f t="shared" ref="C149:G149" si="74">Max(0,C137)</f>
        <v>0</v>
      </c>
      <c r="D149" s="15">
        <f t="shared" si="74"/>
        <v>0</v>
      </c>
      <c r="E149" s="15">
        <f t="shared" si="74"/>
        <v>0.6061465326</v>
      </c>
      <c r="F149" s="15">
        <f t="shared" si="74"/>
        <v>0</v>
      </c>
      <c r="G149" s="17">
        <f t="shared" si="74"/>
        <v>0.178856805</v>
      </c>
      <c r="X149" s="2"/>
      <c r="Y149" s="2"/>
      <c r="Z149" s="2"/>
    </row>
    <row r="150">
      <c r="C150" s="16">
        <f t="shared" ref="C150:G150" si="75">Max(0,C138)</f>
        <v>0.1841955148</v>
      </c>
      <c r="D150" s="15">
        <f t="shared" si="75"/>
        <v>0</v>
      </c>
      <c r="E150" s="15">
        <f t="shared" si="75"/>
        <v>0.2662499008</v>
      </c>
      <c r="F150" s="15">
        <f t="shared" si="75"/>
        <v>0.3344888946</v>
      </c>
      <c r="G150" s="17">
        <f t="shared" si="75"/>
        <v>0</v>
      </c>
      <c r="X150" s="2"/>
      <c r="Y150" s="2"/>
      <c r="Z150" s="2"/>
    </row>
    <row r="151">
      <c r="C151" s="16">
        <f t="shared" ref="C151:G151" si="76">Max(0,C139)</f>
        <v>0.5714757985</v>
      </c>
      <c r="D151" s="15">
        <f t="shared" si="76"/>
        <v>0</v>
      </c>
      <c r="E151" s="15">
        <f t="shared" si="76"/>
        <v>0</v>
      </c>
      <c r="F151" s="15">
        <f t="shared" si="76"/>
        <v>0.6294730894</v>
      </c>
      <c r="G151" s="17">
        <f t="shared" si="76"/>
        <v>0</v>
      </c>
      <c r="X151" s="2"/>
      <c r="Y151" s="2"/>
      <c r="Z151" s="2"/>
    </row>
    <row r="152">
      <c r="C152" s="16">
        <f t="shared" ref="C152:G152" si="77">Max(0,C140)</f>
        <v>0.188361122</v>
      </c>
      <c r="D152" s="15">
        <f t="shared" si="77"/>
        <v>0.2002067556</v>
      </c>
      <c r="E152" s="15">
        <f t="shared" si="77"/>
        <v>0.3840441888</v>
      </c>
      <c r="F152" s="15">
        <f t="shared" si="77"/>
        <v>0.6627280173</v>
      </c>
      <c r="G152" s="17">
        <f t="shared" si="77"/>
        <v>0</v>
      </c>
      <c r="X152" s="2"/>
      <c r="Y152" s="2"/>
      <c r="Z152" s="2"/>
    </row>
    <row r="153">
      <c r="C153" s="16">
        <f t="shared" ref="C153:G153" si="78">Max(0,C141)</f>
        <v>0</v>
      </c>
      <c r="D153" s="15">
        <f t="shared" si="78"/>
        <v>0</v>
      </c>
      <c r="E153" s="15">
        <f t="shared" si="78"/>
        <v>0</v>
      </c>
      <c r="F153" s="15">
        <f t="shared" si="78"/>
        <v>0</v>
      </c>
      <c r="G153" s="17">
        <f t="shared" si="78"/>
        <v>0</v>
      </c>
      <c r="X153" s="2"/>
      <c r="Y153" s="2"/>
      <c r="Z153" s="2"/>
    </row>
    <row r="154">
      <c r="C154" s="16">
        <f t="shared" ref="C154:G154" si="79">Max(0,C142)</f>
        <v>0</v>
      </c>
      <c r="D154" s="15">
        <f t="shared" si="79"/>
        <v>0.07760102229</v>
      </c>
      <c r="E154" s="15">
        <f t="shared" si="79"/>
        <v>0</v>
      </c>
      <c r="F154" s="15">
        <f t="shared" si="79"/>
        <v>0</v>
      </c>
      <c r="G154" s="17">
        <f t="shared" si="79"/>
        <v>1.152969507</v>
      </c>
      <c r="X154" s="2"/>
      <c r="Y154" s="2"/>
      <c r="Z154" s="2"/>
    </row>
    <row r="155">
      <c r="C155" s="18">
        <f t="shared" ref="C155:G155" si="80">Max(0,C143)</f>
        <v>0.9298766556</v>
      </c>
      <c r="D155" s="19">
        <f t="shared" si="80"/>
        <v>0.4138181628</v>
      </c>
      <c r="E155" s="19">
        <f t="shared" si="80"/>
        <v>0</v>
      </c>
      <c r="F155" s="19">
        <f t="shared" si="80"/>
        <v>2.455106471</v>
      </c>
      <c r="G155" s="20">
        <f t="shared" si="80"/>
        <v>0</v>
      </c>
      <c r="X155" s="2"/>
      <c r="Y155" s="2"/>
      <c r="Z155" s="2"/>
    </row>
    <row r="156">
      <c r="E156" s="4" t="s">
        <v>24</v>
      </c>
      <c r="X156" s="2"/>
      <c r="Y156" s="2"/>
      <c r="Z156" s="2"/>
    </row>
    <row r="157">
      <c r="E157" s="4" t="s">
        <v>24</v>
      </c>
      <c r="X157" s="2"/>
      <c r="Y157" s="2"/>
      <c r="Z157" s="2"/>
    </row>
    <row r="158">
      <c r="B158" s="22" t="s">
        <v>25</v>
      </c>
      <c r="C158" s="12">
        <f t="array" ref="C158:G162">MMULT(J158:S162,C146:G155)</f>
        <v>0.5125480906</v>
      </c>
      <c r="D158" s="13">
        <v>1.1025462369415777</v>
      </c>
      <c r="E158" s="13">
        <v>1.5640404293215266</v>
      </c>
      <c r="F158" s="13">
        <v>1.7934042149404792</v>
      </c>
      <c r="G158" s="14">
        <v>0.7316429932481942</v>
      </c>
      <c r="I158" s="22" t="s">
        <v>30</v>
      </c>
      <c r="J158" s="39">
        <f t="shared" ref="J158:S158" si="81">NORMINV(rand(),0, sqrt(2/5))</f>
        <v>0.9102426819</v>
      </c>
      <c r="K158" s="40">
        <f t="shared" si="81"/>
        <v>0.7116790046</v>
      </c>
      <c r="L158" s="40">
        <f t="shared" si="81"/>
        <v>-0.1036390971</v>
      </c>
      <c r="M158" s="40">
        <f t="shared" si="81"/>
        <v>-0.106650255</v>
      </c>
      <c r="N158" s="40">
        <f t="shared" si="81"/>
        <v>0.02069368744</v>
      </c>
      <c r="O158" s="40">
        <f t="shared" si="81"/>
        <v>-0.2432175094</v>
      </c>
      <c r="P158" s="40">
        <f t="shared" si="81"/>
        <v>0.7476730982</v>
      </c>
      <c r="Q158" s="40">
        <f t="shared" si="81"/>
        <v>0.2763348644</v>
      </c>
      <c r="R158" s="40">
        <f t="shared" si="81"/>
        <v>-0.1776634976</v>
      </c>
      <c r="S158" s="41">
        <f t="shared" si="81"/>
        <v>0.6009440303</v>
      </c>
      <c r="X158" s="2"/>
      <c r="Y158" s="2"/>
      <c r="Z158" s="2"/>
    </row>
    <row r="159">
      <c r="B159" s="22" t="s">
        <v>31</v>
      </c>
      <c r="C159" s="16">
        <v>0.16935899920823927</v>
      </c>
      <c r="D159" s="15">
        <v>-0.5725957898375671</v>
      </c>
      <c r="E159" s="15">
        <v>-0.3890423089443143</v>
      </c>
      <c r="F159" s="15">
        <v>-0.6607537442178774</v>
      </c>
      <c r="G159" s="17">
        <v>-0.6096590515234378</v>
      </c>
      <c r="H159" s="2"/>
      <c r="I159" s="22" t="s">
        <v>32</v>
      </c>
      <c r="J159" s="42">
        <f t="shared" ref="J159:S159" si="82">NORMINV(rand(),0, sqrt(2/5))</f>
        <v>0.680815998</v>
      </c>
      <c r="K159" s="43">
        <f t="shared" si="82"/>
        <v>-0.4329802649</v>
      </c>
      <c r="L159" s="43">
        <f t="shared" si="82"/>
        <v>0.1231530463</v>
      </c>
      <c r="M159" s="43">
        <f t="shared" si="82"/>
        <v>-0.9324194807</v>
      </c>
      <c r="N159" s="43">
        <f t="shared" si="82"/>
        <v>-0.1064759933</v>
      </c>
      <c r="O159" s="43">
        <f t="shared" si="82"/>
        <v>0.9533605799</v>
      </c>
      <c r="P159" s="43">
        <f t="shared" si="82"/>
        <v>-0.9676960359</v>
      </c>
      <c r="Q159" s="43">
        <f t="shared" si="82"/>
        <v>-1.344998974</v>
      </c>
      <c r="R159" s="43">
        <f t="shared" si="82"/>
        <v>0.0989759487</v>
      </c>
      <c r="S159" s="44">
        <f t="shared" si="82"/>
        <v>-0.2529962198</v>
      </c>
      <c r="T159" s="2"/>
      <c r="U159" s="2"/>
      <c r="V159" s="2"/>
      <c r="W159" s="2"/>
      <c r="X159" s="2"/>
      <c r="Y159" s="2"/>
      <c r="Z159" s="2"/>
    </row>
    <row r="160">
      <c r="B160" s="1"/>
      <c r="C160" s="16">
        <v>0.23055356612238997</v>
      </c>
      <c r="D160" s="15">
        <v>0.9541076612686321</v>
      </c>
      <c r="E160" s="15">
        <v>0.7671115736257562</v>
      </c>
      <c r="F160" s="15">
        <v>1.432904548000295</v>
      </c>
      <c r="G160" s="17">
        <v>1.0666987582851193</v>
      </c>
      <c r="H160" s="2"/>
      <c r="I160" s="1"/>
      <c r="J160" s="42">
        <f t="shared" ref="J160:S160" si="83">NORMINV(rand(),0, sqrt(2/5))</f>
        <v>1.227321068</v>
      </c>
      <c r="K160" s="43">
        <f t="shared" si="83"/>
        <v>0.4690942917</v>
      </c>
      <c r="L160" s="43">
        <f t="shared" si="83"/>
        <v>-0.3272105416</v>
      </c>
      <c r="M160" s="43">
        <f t="shared" si="83"/>
        <v>-1.091169272</v>
      </c>
      <c r="N160" s="43">
        <f t="shared" si="83"/>
        <v>-0.7404989285</v>
      </c>
      <c r="O160" s="43">
        <f t="shared" si="83"/>
        <v>-0.4105102693</v>
      </c>
      <c r="P160" s="43">
        <f t="shared" si="83"/>
        <v>0.1022353501</v>
      </c>
      <c r="Q160" s="43">
        <f t="shared" si="83"/>
        <v>0.4411400519</v>
      </c>
      <c r="R160" s="43">
        <f t="shared" si="83"/>
        <v>0.6391397554</v>
      </c>
      <c r="S160" s="44">
        <f t="shared" si="83"/>
        <v>0.8024410211</v>
      </c>
      <c r="T160" s="2"/>
      <c r="U160" s="2"/>
      <c r="V160" s="2"/>
      <c r="W160" s="2"/>
      <c r="X160" s="2"/>
      <c r="Y160" s="2"/>
      <c r="Z160" s="2"/>
    </row>
    <row r="161">
      <c r="B161" s="1"/>
      <c r="C161" s="16">
        <v>-0.2168762843135521</v>
      </c>
      <c r="D161" s="15">
        <v>-0.8464587854383123</v>
      </c>
      <c r="E161" s="15">
        <v>0.06675014441675994</v>
      </c>
      <c r="F161" s="15">
        <v>-1.5006597011013414</v>
      </c>
      <c r="G161" s="17">
        <v>-0.30186968630662364</v>
      </c>
      <c r="H161" s="159" t="s">
        <v>28</v>
      </c>
      <c r="I161" s="159" t="s">
        <v>28</v>
      </c>
      <c r="J161" s="42">
        <f t="shared" ref="J161:S161" si="84">NORMINV(rand(),0, sqrt(2/5))</f>
        <v>0.4229851993</v>
      </c>
      <c r="K161" s="43">
        <f t="shared" si="84"/>
        <v>-0.7027837174</v>
      </c>
      <c r="L161" s="43">
        <f t="shared" si="84"/>
        <v>0.7812543489</v>
      </c>
      <c r="M161" s="43">
        <f t="shared" si="84"/>
        <v>0.201990109</v>
      </c>
      <c r="N161" s="43">
        <f t="shared" si="84"/>
        <v>-0.2660649887</v>
      </c>
      <c r="O161" s="43">
        <f t="shared" si="84"/>
        <v>0.1200816515</v>
      </c>
      <c r="P161" s="43">
        <f t="shared" si="84"/>
        <v>-0.3974265239</v>
      </c>
      <c r="Q161" s="43">
        <f t="shared" si="84"/>
        <v>-0.1152788514</v>
      </c>
      <c r="R161" s="43">
        <f t="shared" si="84"/>
        <v>0.2867037331</v>
      </c>
      <c r="S161" s="44">
        <f t="shared" si="84"/>
        <v>-0.5946155076</v>
      </c>
      <c r="T161" s="2"/>
      <c r="U161" s="2"/>
      <c r="V161" s="2"/>
      <c r="W161" s="2"/>
      <c r="X161" s="2"/>
      <c r="Y161" s="2"/>
      <c r="Z161" s="2"/>
    </row>
    <row r="162">
      <c r="B162" s="1"/>
      <c r="C162" s="18">
        <v>-0.5716071530398215</v>
      </c>
      <c r="D162" s="19">
        <v>1.2680357943258835</v>
      </c>
      <c r="E162" s="19">
        <v>0.8350639149921364</v>
      </c>
      <c r="F162" s="19">
        <v>-0.5884241254426181</v>
      </c>
      <c r="G162" s="20">
        <v>1.2548078492245704</v>
      </c>
      <c r="H162" s="2"/>
      <c r="I162" s="1"/>
      <c r="J162" s="45">
        <f t="shared" ref="J162:S162" si="85">NORMINV(rand(),0, sqrt(2/5))</f>
        <v>0.290865066</v>
      </c>
      <c r="K162" s="46">
        <f t="shared" si="85"/>
        <v>1.557022546</v>
      </c>
      <c r="L162" s="46">
        <f t="shared" si="85"/>
        <v>-0.1553308817</v>
      </c>
      <c r="M162" s="46">
        <f t="shared" si="85"/>
        <v>0.3532496757</v>
      </c>
      <c r="N162" s="46">
        <f t="shared" si="85"/>
        <v>-0.4892405411</v>
      </c>
      <c r="O162" s="46">
        <f t="shared" si="85"/>
        <v>-0.9090325437</v>
      </c>
      <c r="P162" s="46">
        <f t="shared" si="85"/>
        <v>-0.6733558644</v>
      </c>
      <c r="Q162" s="46">
        <f t="shared" si="85"/>
        <v>-0.1565891787</v>
      </c>
      <c r="R162" s="46">
        <f t="shared" si="85"/>
        <v>-0.8047845686</v>
      </c>
      <c r="S162" s="47">
        <f t="shared" si="85"/>
        <v>0.2609265405</v>
      </c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4" t="s">
        <v>24</v>
      </c>
      <c r="F163" s="2"/>
      <c r="G163" s="2"/>
      <c r="H163" s="2"/>
      <c r="I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4" t="s">
        <v>24</v>
      </c>
      <c r="F164" s="2"/>
      <c r="G164" s="2"/>
      <c r="H164" s="2"/>
      <c r="I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22" t="s">
        <v>33</v>
      </c>
      <c r="C165" s="12">
        <f t="array" ref="C165:G169">C158:G162+C127:G131</f>
        <v>0.5820510314</v>
      </c>
      <c r="D165" s="13">
        <v>0.5344530792354554</v>
      </c>
      <c r="E165" s="13">
        <v>0.777260672063485</v>
      </c>
      <c r="F165" s="13">
        <v>1.7415145203763123</v>
      </c>
      <c r="G165" s="14">
        <v>-0.03295506709108931</v>
      </c>
      <c r="H165" s="2"/>
      <c r="I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22"/>
      <c r="C166" s="16">
        <v>0.887822430101143</v>
      </c>
      <c r="D166" s="15">
        <v>-0.43081526792224895</v>
      </c>
      <c r="E166" s="15">
        <v>-0.29099857375957</v>
      </c>
      <c r="F166" s="15">
        <v>0.40971790309902845</v>
      </c>
      <c r="G166" s="17">
        <v>-0.4894082086587877</v>
      </c>
      <c r="H166" s="2"/>
      <c r="I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16">
        <v>-0.11743045618886788</v>
      </c>
      <c r="D167" s="15">
        <v>1.0579075460168885</v>
      </c>
      <c r="E167" s="15">
        <v>0.2318074103449973</v>
      </c>
      <c r="F167" s="15">
        <v>1.5339960732896285</v>
      </c>
      <c r="G167" s="17">
        <v>1.084205830990313</v>
      </c>
      <c r="H167" s="2"/>
      <c r="I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16">
        <v>-0.8545323903198537</v>
      </c>
      <c r="D168" s="15">
        <v>-0.45391683522595283</v>
      </c>
      <c r="E168" s="15">
        <v>0.41193123536742937</v>
      </c>
      <c r="F168" s="15">
        <v>-2.43699563036646</v>
      </c>
      <c r="G168" s="17">
        <v>0.25885011297712174</v>
      </c>
      <c r="H168" s="2"/>
      <c r="I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18">
        <v>-0.4422539864839931</v>
      </c>
      <c r="D169" s="19">
        <v>0.996300446762012</v>
      </c>
      <c r="E169" s="19">
        <v>0.28705248797923566</v>
      </c>
      <c r="F169" s="19">
        <v>-0.8610341580570438</v>
      </c>
      <c r="G169" s="20">
        <v>2.490965308344988</v>
      </c>
      <c r="H169" s="2"/>
      <c r="I169" s="1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8" t="s">
        <v>34</v>
      </c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6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6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22" t="s">
        <v>4</v>
      </c>
      <c r="C174" s="39">
        <f t="shared" ref="C174:E174" si="86">NORMINV(rand(),0, sqrt(2/5))</f>
        <v>0.1002587439</v>
      </c>
      <c r="D174" s="40">
        <f t="shared" si="86"/>
        <v>0.4039603116</v>
      </c>
      <c r="E174" s="41">
        <f t="shared" si="86"/>
        <v>0.266712406</v>
      </c>
      <c r="F174" s="43"/>
      <c r="G174" s="43"/>
      <c r="W174" s="43"/>
      <c r="X174" s="43"/>
      <c r="Y174" s="43"/>
      <c r="Z174" s="43"/>
    </row>
    <row r="175">
      <c r="B175" s="1"/>
      <c r="C175" s="42">
        <f t="shared" ref="C175:E175" si="87">NORMINV(rand(),0, sqrt(2/5))</f>
        <v>-0.4611908631</v>
      </c>
      <c r="D175" s="43">
        <f t="shared" si="87"/>
        <v>-0.6521234637</v>
      </c>
      <c r="E175" s="44">
        <f t="shared" si="87"/>
        <v>0.723571177</v>
      </c>
      <c r="F175" s="43"/>
      <c r="G175" s="43"/>
      <c r="W175" s="43"/>
      <c r="X175" s="43"/>
      <c r="Y175" s="43"/>
      <c r="Z175" s="43"/>
    </row>
    <row r="176">
      <c r="B176" s="1"/>
      <c r="C176" s="45">
        <f t="shared" ref="C176:E176" si="88">NORMINV(rand(),0, sqrt(2/5))</f>
        <v>-0.1424880554</v>
      </c>
      <c r="D176" s="46">
        <f t="shared" si="88"/>
        <v>-0.3710739976</v>
      </c>
      <c r="E176" s="47">
        <f t="shared" si="88"/>
        <v>-0.3924138925</v>
      </c>
      <c r="F176" s="43"/>
      <c r="G176" s="43"/>
      <c r="W176" s="43"/>
      <c r="X176" s="43"/>
      <c r="Y176" s="43"/>
      <c r="Z176" s="43"/>
    </row>
    <row r="177">
      <c r="U177" s="43"/>
      <c r="V177" s="43"/>
      <c r="W177" s="43"/>
      <c r="X177" s="43"/>
      <c r="Y177" s="43"/>
      <c r="Z177" s="43"/>
    </row>
    <row r="178">
      <c r="C178" s="15"/>
      <c r="D178" s="15"/>
      <c r="E178" s="15"/>
      <c r="F178" s="15"/>
      <c r="G178" s="15"/>
      <c r="U178" s="43"/>
      <c r="V178" s="43"/>
      <c r="W178" s="43"/>
      <c r="X178" s="43"/>
      <c r="Y178" s="43"/>
      <c r="Z178" s="43"/>
    </row>
    <row r="179">
      <c r="B179" s="22" t="s">
        <v>35</v>
      </c>
      <c r="C179" s="12">
        <f t="array" ref="C179:E181">LET(inner, MMULT(I179:K184, C174:E176), MMULT(O179:T181, IF(inner &gt; 0, inner, 0)) + C174:E176)</f>
        <v>-0.07913127312</v>
      </c>
      <c r="D179" s="13">
        <v>0.21051385558906566</v>
      </c>
      <c r="E179" s="14">
        <v>0.7466605353378128</v>
      </c>
      <c r="F179" s="15"/>
      <c r="G179" s="15"/>
      <c r="H179" s="22" t="s">
        <v>26</v>
      </c>
      <c r="I179" s="39">
        <f t="shared" ref="I179:K179" si="89">NORMINV(rand(),0, sqrt(2/5))</f>
        <v>0.5485653077</v>
      </c>
      <c r="J179" s="40">
        <f t="shared" si="89"/>
        <v>-0.4926376966</v>
      </c>
      <c r="K179" s="41">
        <f t="shared" si="89"/>
        <v>-0.5736275016</v>
      </c>
      <c r="N179" s="22" t="s">
        <v>30</v>
      </c>
      <c r="O179" s="39">
        <f t="shared" ref="O179:T179" si="90">NORMINV(rand(),0, sqrt(2/5))</f>
        <v>0.03812341098</v>
      </c>
      <c r="P179" s="40">
        <f t="shared" si="90"/>
        <v>-0.2103629089</v>
      </c>
      <c r="Q179" s="40">
        <f t="shared" si="90"/>
        <v>0.3596740178</v>
      </c>
      <c r="R179" s="40">
        <f t="shared" si="90"/>
        <v>1.198864926</v>
      </c>
      <c r="S179" s="40">
        <f t="shared" si="90"/>
        <v>-0.502204134</v>
      </c>
      <c r="T179" s="41">
        <f t="shared" si="90"/>
        <v>0.1400814412</v>
      </c>
      <c r="U179" s="2"/>
      <c r="V179" s="2"/>
      <c r="W179" s="2"/>
      <c r="X179" s="2"/>
      <c r="Y179" s="2"/>
      <c r="Z179" s="2"/>
    </row>
    <row r="180">
      <c r="B180" s="22" t="s">
        <v>36</v>
      </c>
      <c r="C180" s="16">
        <v>-0.03217031307471707</v>
      </c>
      <c r="D180" s="15">
        <v>0.19942399390387144</v>
      </c>
      <c r="E180" s="17">
        <v>0.706325905722484</v>
      </c>
      <c r="F180" s="15"/>
      <c r="G180" s="15"/>
      <c r="H180" s="22" t="s">
        <v>27</v>
      </c>
      <c r="I180" s="42">
        <f t="shared" ref="I180:K180" si="91">NORMINV(rand(),0, sqrt(2/5))</f>
        <v>0.425397397</v>
      </c>
      <c r="J180" s="43">
        <f t="shared" si="91"/>
        <v>-0.6605805965</v>
      </c>
      <c r="K180" s="44">
        <f t="shared" si="91"/>
        <v>0.6893600573</v>
      </c>
      <c r="N180" s="22" t="s">
        <v>32</v>
      </c>
      <c r="O180" s="42">
        <f t="shared" ref="O180:T180" si="92">NORMINV(rand(),0, sqrt(2/5))</f>
        <v>0.7886740536</v>
      </c>
      <c r="P180" s="43">
        <f t="shared" si="92"/>
        <v>0.4781922771</v>
      </c>
      <c r="Q180" s="43">
        <f t="shared" si="92"/>
        <v>0.5946026781</v>
      </c>
      <c r="R180" s="43">
        <f t="shared" si="92"/>
        <v>-0.3163934151</v>
      </c>
      <c r="S180" s="43">
        <f t="shared" si="92"/>
        <v>0.07708595696</v>
      </c>
      <c r="T180" s="44">
        <f t="shared" si="92"/>
        <v>-0.0581869109</v>
      </c>
      <c r="U180" s="43"/>
      <c r="V180" s="43"/>
      <c r="W180" s="43"/>
      <c r="X180" s="2"/>
      <c r="Y180" s="2"/>
      <c r="Z180" s="2"/>
    </row>
    <row r="181">
      <c r="B181" s="164" t="s">
        <v>37</v>
      </c>
      <c r="C181" s="18">
        <v>-0.6231724393059007</v>
      </c>
      <c r="D181" s="19">
        <v>-1.2248255137027715</v>
      </c>
      <c r="E181" s="20">
        <v>-0.2660583138149602</v>
      </c>
      <c r="F181" s="15"/>
      <c r="G181" s="15"/>
      <c r="H181" s="1"/>
      <c r="I181" s="42">
        <f t="shared" ref="I181:K181" si="93">NORMINV(rand(),0, sqrt(2/5))</f>
        <v>0.3915398707</v>
      </c>
      <c r="J181" s="43">
        <f t="shared" si="93"/>
        <v>0.07604287459</v>
      </c>
      <c r="K181" s="44">
        <f t="shared" si="93"/>
        <v>0.01569859307</v>
      </c>
      <c r="N181" s="1"/>
      <c r="O181" s="45">
        <f t="shared" ref="O181:T181" si="94">NORMINV(rand(),0, sqrt(2/5))</f>
        <v>-0.8760705613</v>
      </c>
      <c r="P181" s="46">
        <f t="shared" si="94"/>
        <v>0.07245486804</v>
      </c>
      <c r="Q181" s="46">
        <f t="shared" si="94"/>
        <v>0.198314117</v>
      </c>
      <c r="R181" s="46">
        <f t="shared" si="94"/>
        <v>0.3053920219</v>
      </c>
      <c r="S181" s="46">
        <f t="shared" si="94"/>
        <v>-0.6395530658</v>
      </c>
      <c r="T181" s="47">
        <f t="shared" si="94"/>
        <v>0.03822299718</v>
      </c>
      <c r="U181" s="43"/>
      <c r="V181" s="43"/>
      <c r="W181" s="43"/>
      <c r="X181" s="2"/>
      <c r="Y181" s="2"/>
      <c r="Z181" s="2"/>
    </row>
    <row r="182">
      <c r="F182" s="15"/>
      <c r="G182" s="15"/>
      <c r="H182" s="1"/>
      <c r="I182" s="42">
        <f t="shared" ref="I182:K182" si="95">NORMINV(rand(),0, sqrt(2/5))</f>
        <v>0.3137621643</v>
      </c>
      <c r="J182" s="43">
        <f t="shared" si="95"/>
        <v>0.6637347616</v>
      </c>
      <c r="K182" s="44">
        <f t="shared" si="95"/>
        <v>0.6506976963</v>
      </c>
      <c r="M182" s="43"/>
      <c r="N182" s="43"/>
      <c r="O182" s="2"/>
      <c r="P182" s="159"/>
      <c r="Q182" s="43"/>
      <c r="R182" s="43"/>
      <c r="S182" s="43"/>
      <c r="T182" s="43"/>
      <c r="U182" s="43"/>
      <c r="V182" s="43"/>
      <c r="W182" s="43"/>
      <c r="X182" s="2"/>
      <c r="Y182" s="2"/>
      <c r="Z182" s="2"/>
    </row>
    <row r="183">
      <c r="F183" s="15"/>
      <c r="G183" s="15"/>
      <c r="H183" s="1"/>
      <c r="I183" s="42">
        <f t="shared" ref="I183:K183" si="96">NORMINV(rand(),0, sqrt(2/5))</f>
        <v>-0.4692629325</v>
      </c>
      <c r="J183" s="43">
        <f t="shared" si="96"/>
        <v>-0.5396022435</v>
      </c>
      <c r="K183" s="44">
        <f t="shared" si="96"/>
        <v>-0.5620267713</v>
      </c>
      <c r="M183" s="43"/>
      <c r="N183" s="43"/>
      <c r="O183" s="2"/>
      <c r="P183" s="1"/>
      <c r="Q183" s="43"/>
      <c r="R183" s="43"/>
      <c r="S183" s="43"/>
      <c r="T183" s="43"/>
      <c r="U183" s="43"/>
      <c r="V183" s="43"/>
      <c r="W183" s="43"/>
      <c r="X183" s="2"/>
      <c r="Y183" s="2"/>
      <c r="Z183" s="2"/>
    </row>
    <row r="184">
      <c r="F184" s="15"/>
      <c r="G184" s="15"/>
      <c r="H184" s="159"/>
      <c r="I184" s="45">
        <f t="shared" ref="I184:K184" si="97">NORMINV(rand(),0, sqrt(2/5))</f>
        <v>-0.02992209745</v>
      </c>
      <c r="J184" s="46">
        <f t="shared" si="97"/>
        <v>0.6495628748</v>
      </c>
      <c r="K184" s="47">
        <f t="shared" si="97"/>
        <v>0.1900708989</v>
      </c>
      <c r="M184" s="43"/>
      <c r="N184" s="43"/>
      <c r="O184" s="2"/>
      <c r="P184" s="2"/>
      <c r="Q184" s="2"/>
      <c r="R184" s="2"/>
      <c r="S184" s="2"/>
      <c r="T184" s="2"/>
      <c r="U184" s="43"/>
      <c r="V184" s="43"/>
      <c r="W184" s="43"/>
      <c r="X184" s="2"/>
      <c r="Y184" s="2"/>
      <c r="Z184" s="2"/>
    </row>
    <row r="185">
      <c r="U185" s="43"/>
      <c r="V185" s="43"/>
      <c r="W185" s="43"/>
      <c r="X185" s="43"/>
      <c r="Y185" s="43"/>
      <c r="Z185" s="43"/>
    </row>
    <row r="186">
      <c r="A186" s="158" t="s">
        <v>38</v>
      </c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22" t="s">
        <v>4</v>
      </c>
      <c r="C188" s="39">
        <f t="shared" ref="C188:E188" si="98">NORMINV(rand(),0, sqrt(2/5))</f>
        <v>-0.5583476118</v>
      </c>
      <c r="D188" s="40">
        <f t="shared" si="98"/>
        <v>-0.3043071519</v>
      </c>
      <c r="E188" s="41">
        <f t="shared" si="98"/>
        <v>-0.378685481</v>
      </c>
      <c r="F188" s="43"/>
      <c r="G188" s="43"/>
      <c r="U188" s="2"/>
      <c r="V188" s="2"/>
      <c r="W188" s="2"/>
      <c r="X188" s="2"/>
      <c r="Y188" s="2"/>
      <c r="Z188" s="2"/>
    </row>
    <row r="189">
      <c r="B189" s="1"/>
      <c r="C189" s="42">
        <f t="shared" ref="C189:E189" si="99">NORMINV(rand(),0, sqrt(2/5))</f>
        <v>0.5840830323</v>
      </c>
      <c r="D189" s="43">
        <f t="shared" si="99"/>
        <v>-1.585970569</v>
      </c>
      <c r="E189" s="44">
        <f t="shared" si="99"/>
        <v>0.3329663222</v>
      </c>
      <c r="F189" s="43"/>
      <c r="G189" s="43"/>
      <c r="U189" s="2"/>
      <c r="V189" s="2"/>
      <c r="W189" s="2"/>
      <c r="X189" s="2"/>
      <c r="Y189" s="2"/>
      <c r="Z189" s="2"/>
    </row>
    <row r="190">
      <c r="B190" s="1"/>
      <c r="C190" s="45">
        <f t="shared" ref="C190:E190" si="100">NORMINV(rand(),0, sqrt(2/5))</f>
        <v>-0.4765520517</v>
      </c>
      <c r="D190" s="46">
        <f t="shared" si="100"/>
        <v>1.213325831</v>
      </c>
      <c r="E190" s="47">
        <f t="shared" si="100"/>
        <v>0.5773217768</v>
      </c>
      <c r="F190" s="43"/>
      <c r="G190" s="43"/>
      <c r="W190" s="43"/>
      <c r="X190" s="43"/>
      <c r="Y190" s="43"/>
      <c r="Z190" s="43"/>
    </row>
    <row r="191">
      <c r="D191" s="4" t="s">
        <v>24</v>
      </c>
      <c r="W191" s="43"/>
      <c r="X191" s="43"/>
      <c r="Y191" s="43"/>
      <c r="Z191" s="43"/>
    </row>
    <row r="192">
      <c r="D192" s="4" t="s">
        <v>24</v>
      </c>
      <c r="W192" s="43"/>
      <c r="X192" s="43"/>
      <c r="Y192" s="43"/>
      <c r="Z192" s="43"/>
    </row>
    <row r="193">
      <c r="B193" s="22" t="s">
        <v>39</v>
      </c>
      <c r="C193" s="12">
        <f t="array" ref="C193:E195">LET(x,C188:E190,rms,SQRT(MMULT(x^2,SEQUENCE(3,1,1/3,0))),x/rms)</f>
        <v>-1.306685547</v>
      </c>
      <c r="D193" s="13">
        <v>-0.7121616514156468</v>
      </c>
      <c r="E193" s="14">
        <v>-0.8862272076150407</v>
      </c>
      <c r="W193" s="43"/>
      <c r="X193" s="43"/>
      <c r="Y193" s="43"/>
      <c r="Z193" s="43"/>
    </row>
    <row r="194">
      <c r="C194" s="16">
        <v>0.5872903489725663</v>
      </c>
      <c r="D194" s="15">
        <v>-1.594679450645669</v>
      </c>
      <c r="E194" s="17">
        <v>0.33479470678627654</v>
      </c>
      <c r="W194" s="43"/>
      <c r="X194" s="43"/>
      <c r="Y194" s="43"/>
      <c r="Z194" s="43"/>
    </row>
    <row r="195">
      <c r="C195" s="18">
        <v>-0.5789606997793458</v>
      </c>
      <c r="D195" s="19">
        <v>1.4740634726615545</v>
      </c>
      <c r="E195" s="20">
        <v>0.7013853339470172</v>
      </c>
      <c r="W195" s="43"/>
      <c r="X195" s="43"/>
      <c r="Y195" s="43"/>
      <c r="Z195" s="43"/>
    </row>
    <row r="196">
      <c r="D196" s="4" t="s">
        <v>24</v>
      </c>
      <c r="W196" s="43"/>
      <c r="X196" s="43"/>
      <c r="Y196" s="43"/>
      <c r="Z196" s="43"/>
    </row>
    <row r="197">
      <c r="C197" s="15"/>
      <c r="D197" s="4" t="s">
        <v>24</v>
      </c>
      <c r="E197" s="15"/>
      <c r="F197" s="15"/>
      <c r="G197" s="15"/>
      <c r="W197" s="43"/>
      <c r="X197" s="43"/>
      <c r="Y197" s="43"/>
      <c r="Z197" s="43"/>
    </row>
    <row r="198">
      <c r="B198" s="22" t="s">
        <v>40</v>
      </c>
      <c r="C198" s="12">
        <f t="array" ref="C198:E200">MMULT(O198:T200 ,MMULT(I198:K203,C188:E190))+C188:E190</f>
        <v>0.01004576422</v>
      </c>
      <c r="D198" s="13">
        <v>-0.8971015916270928</v>
      </c>
      <c r="E198" s="14">
        <v>0.14680636799169755</v>
      </c>
      <c r="F198" s="15"/>
      <c r="G198" s="15"/>
      <c r="H198" s="22" t="s">
        <v>26</v>
      </c>
      <c r="I198" s="39">
        <f t="shared" ref="I198:K198" si="101">NORMINV(rand(),0, sqrt(2/5))</f>
        <v>-0.2302739559</v>
      </c>
      <c r="J198" s="40">
        <f t="shared" si="101"/>
        <v>-1.465004207</v>
      </c>
      <c r="K198" s="41">
        <f t="shared" si="101"/>
        <v>0.6955620014</v>
      </c>
      <c r="N198" s="22" t="s">
        <v>30</v>
      </c>
      <c r="O198" s="39">
        <f t="shared" ref="O198:T198" si="102">NORMINV(rand(),0, sqrt(2/5))</f>
        <v>-0.279360037</v>
      </c>
      <c r="P198" s="40">
        <f t="shared" si="102"/>
        <v>-0.4267777942</v>
      </c>
      <c r="Q198" s="40">
        <f t="shared" si="102"/>
        <v>0.6982256569</v>
      </c>
      <c r="R198" s="40">
        <f t="shared" si="102"/>
        <v>0.2566805027</v>
      </c>
      <c r="S198" s="40">
        <f t="shared" si="102"/>
        <v>0.6067598844</v>
      </c>
      <c r="T198" s="41">
        <f t="shared" si="102"/>
        <v>-0.08193077707</v>
      </c>
      <c r="U198" s="43"/>
      <c r="V198" s="43"/>
      <c r="W198" s="43"/>
      <c r="X198" s="43"/>
      <c r="Y198" s="43"/>
      <c r="Z198" s="43"/>
    </row>
    <row r="199">
      <c r="B199" s="22" t="s">
        <v>41</v>
      </c>
      <c r="C199" s="16">
        <v>0.1658758611167595</v>
      </c>
      <c r="D199" s="15">
        <v>-1.298161566458714</v>
      </c>
      <c r="E199" s="17">
        <v>0.5505747776451048</v>
      </c>
      <c r="F199" s="15"/>
      <c r="G199" s="15"/>
      <c r="H199" s="22" t="s">
        <v>27</v>
      </c>
      <c r="I199" s="42">
        <f t="shared" ref="I199:K199" si="103">NORMINV(rand(),0, sqrt(2/5))</f>
        <v>-0.4155267941</v>
      </c>
      <c r="J199" s="43">
        <f t="shared" si="103"/>
        <v>-0.7854816449</v>
      </c>
      <c r="K199" s="44">
        <f t="shared" si="103"/>
        <v>-0.7492787926</v>
      </c>
      <c r="N199" s="22" t="s">
        <v>32</v>
      </c>
      <c r="O199" s="42">
        <f t="shared" ref="O199:T199" si="104">NORMINV(rand(),0, sqrt(2/5))</f>
        <v>0.09225712495</v>
      </c>
      <c r="P199" s="43">
        <f t="shared" si="104"/>
        <v>-0.6166451486</v>
      </c>
      <c r="Q199" s="43">
        <f t="shared" si="104"/>
        <v>-0.004905206847</v>
      </c>
      <c r="R199" s="43">
        <f t="shared" si="104"/>
        <v>-0.4842925156</v>
      </c>
      <c r="S199" s="43">
        <f t="shared" si="104"/>
        <v>0.4532131943</v>
      </c>
      <c r="T199" s="44">
        <f t="shared" si="104"/>
        <v>0.4195141047</v>
      </c>
      <c r="U199" s="43"/>
      <c r="V199" s="43"/>
      <c r="W199" s="43"/>
      <c r="X199" s="43"/>
      <c r="Y199" s="43"/>
      <c r="Z199" s="43"/>
    </row>
    <row r="200">
      <c r="B200" s="164" t="s">
        <v>37</v>
      </c>
      <c r="C200" s="18">
        <v>-1.7879841474085159</v>
      </c>
      <c r="D200" s="19">
        <v>3.425695658335315</v>
      </c>
      <c r="E200" s="20">
        <v>1.3755765934469797</v>
      </c>
      <c r="F200" s="15"/>
      <c r="G200" s="15"/>
      <c r="H200" s="1"/>
      <c r="I200" s="42">
        <f t="shared" ref="I200:K200" si="105">NORMINV(rand(),0, sqrt(2/5))</f>
        <v>-0.995436647</v>
      </c>
      <c r="J200" s="43">
        <f t="shared" si="105"/>
        <v>0.05988323069</v>
      </c>
      <c r="K200" s="44">
        <f t="shared" si="105"/>
        <v>0.4797230268</v>
      </c>
      <c r="N200" s="1"/>
      <c r="O200" s="45">
        <f t="shared" ref="O200:T200" si="106">NORMINV(rand(),0, sqrt(2/5))</f>
        <v>0.761627943</v>
      </c>
      <c r="P200" s="46">
        <f t="shared" si="106"/>
        <v>-1.292195775</v>
      </c>
      <c r="Q200" s="46">
        <f t="shared" si="106"/>
        <v>0.1842830064</v>
      </c>
      <c r="R200" s="46">
        <f t="shared" si="106"/>
        <v>-0.7445860715</v>
      </c>
      <c r="S200" s="46">
        <f t="shared" si="106"/>
        <v>0.1828173399</v>
      </c>
      <c r="T200" s="47">
        <f t="shared" si="106"/>
        <v>0.03665809857</v>
      </c>
      <c r="U200" s="2"/>
      <c r="V200" s="2"/>
      <c r="W200" s="2"/>
      <c r="X200" s="2"/>
      <c r="Y200" s="2"/>
      <c r="Z200" s="2"/>
    </row>
    <row r="201">
      <c r="F201" s="15"/>
      <c r="G201" s="15"/>
      <c r="H201" s="1"/>
      <c r="I201" s="42">
        <f t="shared" ref="I201:K201" si="107">NORMINV(rand(),0, sqrt(2/5))</f>
        <v>-0.6393399846</v>
      </c>
      <c r="J201" s="43">
        <f t="shared" si="107"/>
        <v>-0.07184301704</v>
      </c>
      <c r="K201" s="44">
        <f t="shared" si="107"/>
        <v>-0.4476276487</v>
      </c>
      <c r="M201" s="43"/>
      <c r="N201" s="43"/>
      <c r="O201" s="2"/>
      <c r="P201" s="159"/>
      <c r="Q201" s="43"/>
      <c r="R201" s="43"/>
      <c r="S201" s="43"/>
      <c r="T201" s="43"/>
      <c r="U201" s="43"/>
      <c r="V201" s="43"/>
      <c r="W201" s="43"/>
      <c r="X201" s="2"/>
      <c r="Y201" s="2"/>
      <c r="Z201" s="2"/>
    </row>
    <row r="202">
      <c r="F202" s="15"/>
      <c r="G202" s="15"/>
      <c r="H202" s="1"/>
      <c r="I202" s="42">
        <f t="shared" ref="I202:K202" si="108">NORMINV(rand(),0, sqrt(2/5))</f>
        <v>0.09373644339</v>
      </c>
      <c r="J202" s="43">
        <f t="shared" si="108"/>
        <v>-0.261047669</v>
      </c>
      <c r="K202" s="44">
        <f t="shared" si="108"/>
        <v>-0.2583363663</v>
      </c>
      <c r="M202" s="43"/>
      <c r="N202" s="43"/>
      <c r="O202" s="2"/>
      <c r="P202" s="1"/>
      <c r="Q202" s="43"/>
      <c r="R202" s="43"/>
      <c r="S202" s="43"/>
      <c r="T202" s="43"/>
      <c r="U202" s="43"/>
      <c r="V202" s="43"/>
      <c r="W202" s="43"/>
      <c r="X202" s="2"/>
      <c r="Y202" s="2"/>
      <c r="Z202" s="2"/>
    </row>
    <row r="203">
      <c r="F203" s="15"/>
      <c r="G203" s="15"/>
      <c r="H203" s="159"/>
      <c r="I203" s="45">
        <f t="shared" ref="I203:K203" si="109">NORMINV(rand(),0, sqrt(2/5))</f>
        <v>-0.3610657048</v>
      </c>
      <c r="J203" s="46">
        <f t="shared" si="109"/>
        <v>-0.2300184387</v>
      </c>
      <c r="K203" s="47">
        <f t="shared" si="109"/>
        <v>-0.1313345054</v>
      </c>
      <c r="M203" s="43"/>
      <c r="N203" s="43"/>
      <c r="O203" s="2"/>
      <c r="P203" s="2"/>
      <c r="Q203" s="2"/>
      <c r="R203" s="2"/>
      <c r="S203" s="2"/>
      <c r="T203" s="2"/>
      <c r="U203" s="43"/>
      <c r="V203" s="43"/>
      <c r="W203" s="43"/>
      <c r="X203" s="2"/>
      <c r="Y203" s="2"/>
      <c r="Z203" s="2"/>
    </row>
    <row r="204">
      <c r="F204" s="15"/>
      <c r="G204" s="15"/>
      <c r="H204" s="1"/>
      <c r="I204" s="43"/>
      <c r="J204" s="43"/>
      <c r="K204" s="43"/>
      <c r="M204" s="43"/>
      <c r="N204" s="43"/>
      <c r="O204" s="2"/>
      <c r="P204" s="1"/>
      <c r="Q204" s="43"/>
      <c r="R204" s="43"/>
      <c r="S204" s="43"/>
      <c r="T204" s="43"/>
      <c r="U204" s="43"/>
      <c r="V204" s="43"/>
      <c r="W204" s="43"/>
      <c r="X204" s="2"/>
      <c r="Y204" s="2"/>
      <c r="Z204" s="2"/>
    </row>
    <row r="205">
      <c r="A205" s="158" t="s">
        <v>42</v>
      </c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22" t="s">
        <v>4</v>
      </c>
      <c r="C207" s="39">
        <f t="shared" ref="C207:E207" si="110">NORMINV(rand(),0, sqrt(2/5))</f>
        <v>-0.002791021286</v>
      </c>
      <c r="D207" s="40">
        <f t="shared" si="110"/>
        <v>0.2981012101</v>
      </c>
      <c r="E207" s="41">
        <f t="shared" si="110"/>
        <v>0.8640827033</v>
      </c>
      <c r="F207" s="43"/>
      <c r="G207" s="43"/>
      <c r="U207" s="2"/>
      <c r="V207" s="2"/>
      <c r="W207" s="2"/>
      <c r="X207" s="2"/>
      <c r="Y207" s="2"/>
      <c r="Z207" s="2"/>
    </row>
    <row r="208">
      <c r="B208" s="1"/>
      <c r="C208" s="42">
        <f t="shared" ref="C208:E208" si="111">NORMINV(rand(),0, sqrt(2/5))</f>
        <v>0.5469653164</v>
      </c>
      <c r="D208" s="43">
        <f t="shared" si="111"/>
        <v>0.08269168912</v>
      </c>
      <c r="E208" s="44">
        <f t="shared" si="111"/>
        <v>-0.3183386534</v>
      </c>
      <c r="F208" s="43"/>
      <c r="G208" s="43"/>
      <c r="U208" s="2"/>
      <c r="V208" s="2"/>
      <c r="W208" s="2"/>
      <c r="X208" s="2"/>
      <c r="Y208" s="2"/>
      <c r="Z208" s="2"/>
    </row>
    <row r="209">
      <c r="B209" s="1"/>
      <c r="C209" s="45">
        <f t="shared" ref="C209:E209" si="112">NORMINV(rand(),0, sqrt(2/5))</f>
        <v>-0.06447587802</v>
      </c>
      <c r="D209" s="46">
        <f t="shared" si="112"/>
        <v>-0.1375421214</v>
      </c>
      <c r="E209" s="47">
        <f t="shared" si="112"/>
        <v>-0.9388649008</v>
      </c>
      <c r="F209" s="43"/>
      <c r="G209" s="43"/>
      <c r="W209" s="43"/>
      <c r="X209" s="43"/>
      <c r="Y209" s="43"/>
      <c r="Z209" s="43"/>
    </row>
    <row r="210">
      <c r="D210" s="4" t="s">
        <v>24</v>
      </c>
      <c r="W210" s="43"/>
      <c r="X210" s="43"/>
      <c r="Y210" s="43"/>
      <c r="Z210" s="43"/>
    </row>
    <row r="211">
      <c r="C211" s="15"/>
      <c r="D211" s="4" t="s">
        <v>24</v>
      </c>
      <c r="E211" s="15"/>
      <c r="F211" s="15"/>
      <c r="G211" s="15"/>
      <c r="W211" s="43"/>
      <c r="X211" s="43"/>
      <c r="Y211" s="43"/>
      <c r="Z211" s="43"/>
    </row>
    <row r="212">
      <c r="B212" s="22" t="s">
        <v>40</v>
      </c>
      <c r="C212" s="12">
        <f t="array" ref="C212:E214">MMULT(O212:T214 ,MMULT(I212:K217,C207:E209))+C207:E209</f>
        <v>0.7286098994</v>
      </c>
      <c r="D212" s="13">
        <v>0.5677445290716836</v>
      </c>
      <c r="E212" s="14">
        <v>1.2072914040026759</v>
      </c>
      <c r="F212" s="15"/>
      <c r="G212" s="15"/>
      <c r="H212" s="22" t="s">
        <v>26</v>
      </c>
      <c r="I212" s="39">
        <f t="shared" ref="I212:K212" si="113">NORMINV(rand(),0, sqrt(2/5))</f>
        <v>-0.1876422985</v>
      </c>
      <c r="J212" s="40">
        <f t="shared" si="113"/>
        <v>-0.1588607</v>
      </c>
      <c r="K212" s="41">
        <f t="shared" si="113"/>
        <v>-0.1639321957</v>
      </c>
      <c r="N212" s="22" t="s">
        <v>30</v>
      </c>
      <c r="O212" s="39">
        <f t="shared" ref="O212:T212" si="114">NORMINV(rand(),0, sqrt(2/5))</f>
        <v>-0.07086300548</v>
      </c>
      <c r="P212" s="40">
        <f t="shared" si="114"/>
        <v>-0.8269523959</v>
      </c>
      <c r="Q212" s="40">
        <f t="shared" si="114"/>
        <v>-0.03697906366</v>
      </c>
      <c r="R212" s="40">
        <f t="shared" si="114"/>
        <v>-0.5380954746</v>
      </c>
      <c r="S212" s="40">
        <f t="shared" si="114"/>
        <v>-0.4258756564</v>
      </c>
      <c r="T212" s="41">
        <f t="shared" si="114"/>
        <v>0.6336799188</v>
      </c>
      <c r="U212" s="43"/>
      <c r="V212" s="43"/>
      <c r="W212" s="43"/>
      <c r="X212" s="43"/>
      <c r="Y212" s="43"/>
      <c r="Z212" s="43"/>
    </row>
    <row r="213">
      <c r="B213" s="22" t="s">
        <v>41</v>
      </c>
      <c r="C213" s="16">
        <v>1.1412808203401328</v>
      </c>
      <c r="D213" s="15">
        <v>0.14611990591362872</v>
      </c>
      <c r="E213" s="17">
        <v>-0.48964066018090646</v>
      </c>
      <c r="F213" s="15"/>
      <c r="G213" s="15"/>
      <c r="H213" s="22" t="s">
        <v>27</v>
      </c>
      <c r="I213" s="42">
        <f t="shared" ref="I213:K213" si="115">NORMINV(rand(),0, sqrt(2/5))</f>
        <v>0.4028609125</v>
      </c>
      <c r="J213" s="43">
        <f t="shared" si="115"/>
        <v>-0.4939071842</v>
      </c>
      <c r="K213" s="44">
        <f t="shared" si="115"/>
        <v>0.6272233135</v>
      </c>
      <c r="N213" s="22" t="s">
        <v>32</v>
      </c>
      <c r="O213" s="42">
        <f t="shared" ref="O213:T213" si="116">NORMINV(rand(),0, sqrt(2/5))</f>
        <v>-0.6556725492</v>
      </c>
      <c r="P213" s="43">
        <f t="shared" si="116"/>
        <v>-0.6253429041</v>
      </c>
      <c r="Q213" s="43">
        <f t="shared" si="116"/>
        <v>0.1388552107</v>
      </c>
      <c r="R213" s="43">
        <f t="shared" si="116"/>
        <v>0.1520239858</v>
      </c>
      <c r="S213" s="43">
        <f t="shared" si="116"/>
        <v>-0.2088709451</v>
      </c>
      <c r="T213" s="44">
        <f t="shared" si="116"/>
        <v>0.687563325</v>
      </c>
      <c r="U213" s="43"/>
      <c r="V213" s="43"/>
      <c r="W213" s="43"/>
      <c r="X213" s="43"/>
      <c r="Y213" s="43"/>
      <c r="Z213" s="43"/>
    </row>
    <row r="214">
      <c r="B214" s="164" t="s">
        <v>37</v>
      </c>
      <c r="C214" s="18">
        <v>-0.5604666468320636</v>
      </c>
      <c r="D214" s="19">
        <v>-0.09215040720627651</v>
      </c>
      <c r="E214" s="20">
        <v>-0.3612748998728422</v>
      </c>
      <c r="F214" s="15"/>
      <c r="G214" s="15"/>
      <c r="H214" s="1"/>
      <c r="I214" s="42">
        <f t="shared" ref="I214:K214" si="117">NORMINV(rand(),0, sqrt(2/5))</f>
        <v>1.195210798</v>
      </c>
      <c r="J214" s="43">
        <f t="shared" si="117"/>
        <v>-0.2776592004</v>
      </c>
      <c r="K214" s="44">
        <f t="shared" si="117"/>
        <v>0.1259686097</v>
      </c>
      <c r="N214" s="1"/>
      <c r="O214" s="45">
        <f t="shared" ref="O214:T214" si="118">NORMINV(rand(),0, sqrt(2/5))</f>
        <v>1.360123342</v>
      </c>
      <c r="P214" s="46">
        <f t="shared" si="118"/>
        <v>0.449640537</v>
      </c>
      <c r="Q214" s="46">
        <f t="shared" si="118"/>
        <v>0.9017701404</v>
      </c>
      <c r="R214" s="46">
        <f t="shared" si="118"/>
        <v>0.4137104076</v>
      </c>
      <c r="S214" s="46">
        <f t="shared" si="118"/>
        <v>0.1081061594</v>
      </c>
      <c r="T214" s="47">
        <f t="shared" si="118"/>
        <v>-0.1851264592</v>
      </c>
      <c r="U214" s="2"/>
      <c r="V214" s="2"/>
      <c r="W214" s="2"/>
      <c r="X214" s="2"/>
      <c r="Y214" s="2"/>
      <c r="Z214" s="2"/>
    </row>
    <row r="215">
      <c r="D215" s="4" t="s">
        <v>24</v>
      </c>
      <c r="F215" s="15"/>
      <c r="G215" s="15"/>
      <c r="H215" s="1"/>
      <c r="I215" s="42">
        <f t="shared" ref="I215:K215" si="119">NORMINV(rand(),0, sqrt(2/5))</f>
        <v>-1.407026546</v>
      </c>
      <c r="J215" s="43">
        <f t="shared" si="119"/>
        <v>0.08791137989</v>
      </c>
      <c r="K215" s="44">
        <f t="shared" si="119"/>
        <v>-0.2784124613</v>
      </c>
      <c r="M215" s="43"/>
      <c r="N215" s="43"/>
      <c r="O215" s="2"/>
      <c r="P215" s="159"/>
      <c r="Q215" s="43"/>
      <c r="R215" s="43"/>
      <c r="S215" s="43"/>
      <c r="T215" s="43"/>
      <c r="U215" s="43"/>
      <c r="V215" s="43"/>
      <c r="W215" s="43"/>
      <c r="X215" s="2"/>
      <c r="Y215" s="2"/>
      <c r="Z215" s="2"/>
    </row>
    <row r="216">
      <c r="D216" s="4" t="s">
        <v>24</v>
      </c>
      <c r="F216" s="15"/>
      <c r="G216" s="15"/>
      <c r="H216" s="1"/>
      <c r="I216" s="42">
        <f t="shared" ref="I216:K216" si="120">NORMINV(rand(),0, sqrt(2/5))</f>
        <v>-0.0143159095</v>
      </c>
      <c r="J216" s="43">
        <f t="shared" si="120"/>
        <v>-1.278041675</v>
      </c>
      <c r="K216" s="44">
        <f t="shared" si="120"/>
        <v>0.2226980829</v>
      </c>
      <c r="M216" s="43"/>
      <c r="N216" s="43"/>
      <c r="O216" s="2"/>
      <c r="P216" s="1"/>
      <c r="Q216" s="43"/>
      <c r="R216" s="43"/>
      <c r="S216" s="43"/>
      <c r="T216" s="43"/>
      <c r="U216" s="43"/>
      <c r="V216" s="43"/>
      <c r="W216" s="43"/>
      <c r="X216" s="2"/>
      <c r="Y216" s="2"/>
      <c r="Z216" s="2"/>
    </row>
    <row r="217">
      <c r="D217" s="4" t="s">
        <v>24</v>
      </c>
      <c r="F217" s="15"/>
      <c r="G217" s="15"/>
      <c r="H217" s="159"/>
      <c r="I217" s="45">
        <f t="shared" ref="I217:K217" si="121">NORMINV(rand(),0, sqrt(2/5))</f>
        <v>-0.1331963999</v>
      </c>
      <c r="J217" s="46">
        <f t="shared" si="121"/>
        <v>0.5551787293</v>
      </c>
      <c r="K217" s="47">
        <f t="shared" si="121"/>
        <v>-0.08315977171</v>
      </c>
      <c r="M217" s="43"/>
      <c r="N217" s="43"/>
      <c r="O217" s="2"/>
      <c r="P217" s="2"/>
      <c r="Q217" s="2"/>
      <c r="R217" s="2"/>
      <c r="S217" s="2"/>
      <c r="T217" s="2"/>
      <c r="U217" s="43"/>
      <c r="V217" s="43"/>
      <c r="W217" s="43"/>
      <c r="X217" s="2"/>
      <c r="Y217" s="2"/>
      <c r="Z217" s="2"/>
    </row>
    <row r="218">
      <c r="D218" s="4" t="s">
        <v>24</v>
      </c>
      <c r="W218" s="43"/>
      <c r="X218" s="43"/>
      <c r="Y218" s="43"/>
      <c r="Z218" s="43"/>
    </row>
    <row r="219">
      <c r="D219" s="4" t="s">
        <v>24</v>
      </c>
      <c r="W219" s="43"/>
      <c r="X219" s="43"/>
      <c r="Y219" s="43"/>
      <c r="Z219" s="43"/>
    </row>
    <row r="220">
      <c r="B220" s="22" t="s">
        <v>39</v>
      </c>
      <c r="C220" s="12">
        <f t="array" ref="C220:E222">LET(x,C212:E214,rms,SQRT(MMULT(x^2,SEQUENCE(3,1,1/3,0))),x/rms)</f>
        <v>0.8301917054</v>
      </c>
      <c r="D220" s="13">
        <v>0.6468987028654493</v>
      </c>
      <c r="E220" s="14">
        <v>1.3756103374645279</v>
      </c>
      <c r="W220" s="43"/>
      <c r="X220" s="43"/>
      <c r="Y220" s="43"/>
      <c r="Z220" s="43"/>
    </row>
    <row r="221">
      <c r="C221" s="16">
        <v>1.5808381601845762</v>
      </c>
      <c r="D221" s="15">
        <v>0.20239709553867938</v>
      </c>
      <c r="E221" s="17">
        <v>-0.6782227709401615</v>
      </c>
      <c r="W221" s="43"/>
      <c r="X221" s="43"/>
      <c r="Y221" s="43"/>
      <c r="Z221" s="43"/>
    </row>
    <row r="222">
      <c r="C222" s="18">
        <v>-1.4421054604235946</v>
      </c>
      <c r="D222" s="19">
        <v>-0.23710707169386303</v>
      </c>
      <c r="E222" s="20">
        <v>-0.9295762892679729</v>
      </c>
      <c r="W222" s="43"/>
      <c r="X222" s="43"/>
      <c r="Y222" s="43"/>
      <c r="Z222" s="43"/>
    </row>
    <row r="223">
      <c r="F223" s="15"/>
      <c r="G223" s="15"/>
      <c r="H223" s="1"/>
      <c r="I223" s="43"/>
      <c r="J223" s="43"/>
      <c r="K223" s="43"/>
      <c r="M223" s="43"/>
      <c r="N223" s="43"/>
      <c r="O223" s="2"/>
      <c r="P223" s="1"/>
      <c r="Q223" s="43"/>
      <c r="R223" s="43"/>
      <c r="S223" s="43"/>
      <c r="T223" s="43"/>
      <c r="U223" s="43"/>
      <c r="V223" s="43"/>
      <c r="W223" s="43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B1145" s="1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B1146" s="1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B1147" s="1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B1148" s="1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</sheetData>
  <mergeCells count="20">
    <mergeCell ref="A2:Z2"/>
    <mergeCell ref="G9:J9"/>
    <mergeCell ref="A18:D18"/>
    <mergeCell ref="G18:H18"/>
    <mergeCell ref="A27:D28"/>
    <mergeCell ref="A37:Z37"/>
    <mergeCell ref="H51:K52"/>
    <mergeCell ref="B99:E100"/>
    <mergeCell ref="A108:Z108"/>
    <mergeCell ref="A125:Z125"/>
    <mergeCell ref="A171:Z171"/>
    <mergeCell ref="A186:Z186"/>
    <mergeCell ref="A205:Z205"/>
    <mergeCell ref="A55:D55"/>
    <mergeCell ref="G55:H55"/>
    <mergeCell ref="A64:D65"/>
    <mergeCell ref="A74:Z74"/>
    <mergeCell ref="G81:J81"/>
    <mergeCell ref="B90:E90"/>
    <mergeCell ref="H90:I90"/>
  </mergeCells>
  <conditionalFormatting sqref="C127:G131 N133:N170 O133:S162 T133:W158 J134:M143 J157:M170 J172:N185 C174:G179 I174:I185 O174:T185 U174:Z178 U180:W185 X185:Z185 I187:T204 U187:Z199 C188:G200 U201:W204 I206:T223 U206:Z213 C207:G214 U215:W223 D217:D222 C218:C222 E218:G222 X218:Z22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4:G143 C177:G185 C187:G187 C189:G204 C206:G206 C208:G22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58:G162 C189:G197 C200:G204 C208:G211 C214:G22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5:G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:G15 D81:H87 C110:G114">
    <cfRule type="colorScale" priority="5">
      <colorScale>
        <cfvo type="min"/>
        <cfvo type="max"/>
        <color rgb="FFFFFFFF"/>
        <color rgb="FF57BB8A"/>
      </colorScale>
    </cfRule>
  </conditionalFormatting>
  <conditionalFormatting sqref="C30:G34 D102:H10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0:G2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7:G61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7:G71">
    <cfRule type="colorScale" priority="9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D92:H96">
    <cfRule type="colorScale" priority="10">
      <colorScale>
        <cfvo type="min"/>
        <cfvo type="max"/>
        <color rgb="FFFFFFFF"/>
        <color rgb="FF57BB8A"/>
      </colorScale>
    </cfRule>
  </conditionalFormatting>
  <conditionalFormatting sqref="C117:G121">
    <cfRule type="colorScale" priority="11">
      <colorScale>
        <cfvo type="min"/>
        <cfvo type="max"/>
        <color rgb="FFFFFFFF"/>
        <color rgb="FF57BB8A"/>
      </colorScale>
    </cfRule>
  </conditionalFormatting>
  <conditionalFormatting sqref="I117:M121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46:G155">
    <cfRule type="colorScale" priority="13">
      <colorScale>
        <cfvo type="min"/>
        <cfvo type="max"/>
        <color rgb="FFFFFFFF"/>
        <color rgb="FF57BB8A"/>
      </colorScale>
    </cfRule>
  </conditionalFormatting>
  <conditionalFormatting sqref="O117:S121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