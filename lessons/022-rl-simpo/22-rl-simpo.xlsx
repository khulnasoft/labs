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<sst xmlns="http://schemas.openxmlformats.org/spreadsheetml/2006/main" count="228" uniqueCount="60">
  <si>
    <t>Feed forward and Bakcpropogation</t>
  </si>
  <si>
    <t>text</t>
  </si>
  <si>
    <t>the</t>
  </si>
  <si>
    <t>brown</t>
  </si>
  <si>
    <t>dog</t>
  </si>
  <si>
    <t>jumped</t>
  </si>
  <si>
    <t>over</t>
  </si>
  <si>
    <t>lazy</t>
  </si>
  <si>
    <t>tokenized</t>
  </si>
  <si>
    <t>Feed forward and pretraining backpropagation</t>
  </si>
  <si>
    <t>⬇</t>
  </si>
  <si>
    <t>Transformer</t>
  </si>
  <si>
    <t>probabilities</t>
  </si>
  <si>
    <t>decoded</t>
  </si>
  <si>
    <t>fox</t>
  </si>
  <si>
    <t>Expected probability for "fox"</t>
  </si>
  <si>
    <t>actual transformer output for "fox"</t>
  </si>
  <si>
    <t>Loss (includes expected - actual)</t>
  </si>
  <si>
    <t xml:space="preserve">RL: change the loss function </t>
  </si>
  <si>
    <t>Correct answer ✅</t>
  </si>
  <si>
    <t>Wrong answer ❌</t>
  </si>
  <si>
    <t>hello</t>
  </si>
  <si>
    <t>world</t>
  </si>
  <si>
    <t>!</t>
  </si>
  <si>
    <t>RL Loss Function</t>
  </si>
  <si>
    <t>SimPO - formulas (formal and human readable)</t>
  </si>
  <si>
    <t>Formal</t>
  </si>
  <si>
    <t>Human</t>
  </si>
  <si>
    <t>readable</t>
  </si>
  <si>
    <t xml:space="preserve">where sigmoid is the sigmoid activation function we've seen earlier </t>
  </si>
  <si>
    <t>where gamma and beta are hyperparameters (read: constants)</t>
  </si>
  <si>
    <t xml:space="preserve">SimPO - Preference Pairs </t>
  </si>
  <si>
    <t>Prompt ❓</t>
  </si>
  <si>
    <t xml:space="preserve">"What is 15% of 240?" </t>
  </si>
  <si>
    <t>Chosen ✅</t>
  </si>
  <si>
    <t xml:space="preserve">"0.15 * 240 = 36" </t>
  </si>
  <si>
    <t>Rejected ❌</t>
  </si>
  <si>
    <t xml:space="preserve">"240 / 15 = 16" </t>
  </si>
  <si>
    <t>Chosen pair</t>
  </si>
  <si>
    <t>"What is 15% of 240? 0.15 * 240 = 36”</t>
  </si>
  <si>
    <t>rejected pair</t>
  </si>
  <si>
    <t>“What is 15% of 240? 240 / 15 = 16”</t>
  </si>
  <si>
    <t>SimPO - Inference</t>
  </si>
  <si>
    <t>tokens</t>
  </si>
  <si>
    <t>probalities</t>
  </si>
  <si>
    <t xml:space="preserve">SimPO - reward </t>
  </si>
  <si>
    <t>chosen</t>
  </si>
  <si>
    <t>rejected</t>
  </si>
  <si>
    <t>chosen reward</t>
  </si>
  <si>
    <t>rejected reward</t>
  </si>
  <si>
    <t>SimPO - loss</t>
  </si>
  <si>
    <t>beta</t>
  </si>
  <si>
    <t>gamma</t>
  </si>
  <si>
    <t>reward margin</t>
  </si>
  <si>
    <t>sigmoid (reward margin)</t>
  </si>
  <si>
    <t>loss</t>
  </si>
  <si>
    <t>AVERAGE(LN(C101:I101))</t>
  </si>
  <si>
    <t>AVERAGE(LN(L101:R101))</t>
  </si>
  <si>
    <t>[FILL]</t>
  </si>
  <si>
    <t>-LN(E120)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</si>
</sst>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12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rgb="FFB7B7B7"/>
      <name val="Arial"/>
    </font>
    <font>
      <color theme="1"/>
      <name val="Arial"/>
    </font>
    <font>
      <sz val="16.0"/>
      <color theme="1"/>
      <name val="Arial"/>
      <scheme val="minor"/>
    </font>
    <font/>
    <font>
      <sz val="13.0"/>
      <color rgb="FF999999"/>
      <name val="Arial"/>
      <scheme val="minor"/>
    </font>
    <font>
      <sz val="12.0"/>
      <color rgb="FF999999"/>
      <name val="Arial"/>
      <scheme val="minor"/>
    </font>
    <font>
      <sz val="14.0"/>
      <color rgb="FF999999"/>
      <name val="Arial"/>
      <scheme val="minor"/>
    </font>
    <font>
      <sz val="22.0"/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1" numFmtId="0" xfId="0" applyAlignment="1" applyFont="1">
      <alignment horizontal="right" readingOrder="0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9" fillId="0" fontId="2" numFmtId="1" xfId="0" applyAlignment="1" applyBorder="1" applyFont="1" applyNumberFormat="1">
      <alignment horizontal="center"/>
    </xf>
    <xf borderId="0" fillId="0" fontId="2" numFmtId="2" xfId="0" applyAlignment="1" applyFont="1" applyNumberFormat="1">
      <alignment horizontal="center"/>
    </xf>
    <xf borderId="9" fillId="0" fontId="4" numFmtId="0" xfId="0" applyAlignment="1" applyBorder="1" applyFont="1">
      <alignment horizontal="center" vertical="bottom"/>
    </xf>
    <xf borderId="0" fillId="0" fontId="2" numFmtId="164" xfId="0" applyAlignment="1" applyFont="1" applyNumberFormat="1">
      <alignment horizontal="center"/>
    </xf>
    <xf borderId="0" fillId="0" fontId="7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left" shrinkToFit="0" wrapText="0"/>
    </xf>
    <xf borderId="0" fillId="0" fontId="9" numFmtId="0" xfId="0" applyAlignment="1" applyFont="1">
      <alignment horizontal="center" readingOrder="0" shrinkToFit="0" wrapText="0"/>
    </xf>
    <xf borderId="0" fillId="0" fontId="4" numFmtId="0" xfId="0" applyAlignment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center"/>
    </xf>
    <xf borderId="9" fillId="0" fontId="4" numFmtId="0" xfId="0" applyAlignment="1" applyBorder="1" applyFont="1">
      <alignment horizontal="center" readingOrder="0" vertical="bottom"/>
    </xf>
    <xf borderId="0" fillId="2" fontId="4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horizontal="center"/>
    </xf>
    <xf borderId="0" fillId="0" fontId="3" numFmtId="0" xfId="0" applyAlignment="1" applyFont="1">
      <alignment horizontal="right" readingOrder="0" vertical="bottom"/>
    </xf>
    <xf borderId="0" fillId="0" fontId="4" numFmtId="4" xfId="0" applyAlignment="1" applyFont="1" applyNumberFormat="1">
      <alignment horizontal="center" vertical="bottom"/>
    </xf>
    <xf borderId="0" fillId="0" fontId="4" numFmtId="0" xfId="0" applyAlignment="1" applyFont="1">
      <alignment vertical="bottom"/>
    </xf>
    <xf borderId="9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11" numFmtId="2" xfId="0" applyAlignment="1" applyFont="1" applyNumberFormat="1">
      <alignment horizontal="center"/>
    </xf>
    <xf borderId="0" fillId="0" fontId="2" numFmtId="2" xfId="0" applyAlignment="1" applyFont="1" applyNumberFormat="1">
      <alignment horizontal="left" readingOrder="0"/>
    </xf>
    <xf borderId="0" fillId="0" fontId="2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6.png"/><Relationship Id="rId4" Type="http://schemas.openxmlformats.org/officeDocument/2006/relationships/image" Target="../media/image2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8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40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31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122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85725</xdr:colOff>
      <xdr:row>48</xdr:row>
      <xdr:rowOff>171450</xdr:rowOff>
    </xdr:from>
    <xdr:ext cx="7248525" cy="9334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59</xdr:row>
      <xdr:rowOff>47625</xdr:rowOff>
    </xdr:from>
    <xdr:ext cx="7019925" cy="6191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54</xdr:row>
      <xdr:rowOff>200025</xdr:rowOff>
    </xdr:from>
    <xdr:ext cx="4572000" cy="48577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64</xdr:row>
      <xdr:rowOff>142875</xdr:rowOff>
    </xdr:from>
    <xdr:ext cx="5305425" cy="10572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92</xdr:row>
      <xdr:rowOff>47625</xdr:rowOff>
    </xdr:from>
    <xdr:ext cx="6400800" cy="13049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107</xdr:row>
      <xdr:rowOff>66675</xdr:rowOff>
    </xdr:from>
    <xdr:ext cx="7496175" cy="10572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8</xdr:row>
      <xdr:rowOff>114300</xdr:rowOff>
    </xdr:from>
    <xdr:ext cx="3095625" cy="2581275"/>
    <xdr:grpSp>
      <xdr:nvGrpSpPr>
        <xdr:cNvPr id="2" name="Shape 2" title="Drawing"/>
        <xdr:cNvGrpSpPr/>
      </xdr:nvGrpSpPr>
      <xdr:grpSpPr>
        <a:xfrm>
          <a:off x="2161520" y="1586475"/>
          <a:ext cx="4064055" cy="3574581"/>
          <a:chOff x="2161520" y="1586475"/>
          <a:chExt cx="4064055" cy="3574581"/>
        </a:xfrm>
      </xdr:grpSpPr>
      <xdr:sp>
        <xdr:nvSpPr>
          <xdr:cNvPr id="3" name="Shape 3"/>
          <xdr:cNvSpPr/>
        </xdr:nvSpPr>
        <xdr:spPr>
          <a:xfrm>
            <a:off x="2161520" y="1937900"/>
            <a:ext cx="479250" cy="421725"/>
          </a:xfrm>
          <a:custGeom>
            <a:rect b="b" l="l" r="r" t="t"/>
            <a:pathLst>
              <a:path extrusionOk="0" h="16869" w="19170">
                <a:moveTo>
                  <a:pt x="5916" y="0"/>
                </a:moveTo>
                <a:cubicBezTo>
                  <a:pt x="3388" y="1896"/>
                  <a:pt x="-880" y="4698"/>
                  <a:pt x="293" y="7632"/>
                </a:cubicBezTo>
                <a:cubicBezTo>
                  <a:pt x="2893" y="14137"/>
                  <a:pt x="12165" y="16869"/>
                  <a:pt x="19170" y="1686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 txBox="1"/>
        </xdr:nvSpPr>
        <xdr:spPr>
          <a:xfrm>
            <a:off x="2690975" y="1586475"/>
            <a:ext cx="3534600" cy="636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  <xdr:sp>
        <xdr:nvSpPr>
          <xdr:cNvPr id="5" name="Shape 5"/>
          <xdr:cNvSpPr/>
        </xdr:nvSpPr>
        <xdr:spPr>
          <a:xfrm>
            <a:off x="2178900" y="2100406"/>
            <a:ext cx="2142650" cy="3060650"/>
          </a:xfrm>
          <a:custGeom>
            <a:rect b="b" l="l" r="r" t="t"/>
            <a:pathLst>
              <a:path extrusionOk="0" h="122426" w="85706">
                <a:moveTo>
                  <a:pt x="0" y="1132"/>
                </a:moveTo>
                <a:cubicBezTo>
                  <a:pt x="13128" y="-1496"/>
                  <a:pt x="26775" y="1533"/>
                  <a:pt x="40164" y="1533"/>
                </a:cubicBezTo>
                <a:cubicBezTo>
                  <a:pt x="52407" y="1533"/>
                  <a:pt x="68565" y="173"/>
                  <a:pt x="75910" y="9968"/>
                </a:cubicBezTo>
                <a:cubicBezTo>
                  <a:pt x="86804" y="24496"/>
                  <a:pt x="80779" y="45982"/>
                  <a:pt x="84344" y="63787"/>
                </a:cubicBezTo>
                <a:cubicBezTo>
                  <a:pt x="86763" y="75871"/>
                  <a:pt x="85558" y="88654"/>
                  <a:pt x="83139" y="100738"/>
                </a:cubicBezTo>
                <a:cubicBezTo>
                  <a:pt x="82061" y="106120"/>
                  <a:pt x="82955" y="112518"/>
                  <a:pt x="79525" y="116804"/>
                </a:cubicBezTo>
                <a:cubicBezTo>
                  <a:pt x="72731" y="125293"/>
                  <a:pt x="57118" y="117564"/>
                  <a:pt x="47393" y="12242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304800</xdr:colOff>
      <xdr:row>40</xdr:row>
      <xdr:rowOff>133350</xdr:rowOff>
    </xdr:from>
    <xdr:ext cx="4200525" cy="723900"/>
    <xdr:grpSp>
      <xdr:nvGrpSpPr>
        <xdr:cNvPr id="2" name="Shape 2" title="Drawing"/>
        <xdr:cNvGrpSpPr/>
      </xdr:nvGrpSpPr>
      <xdr:grpSpPr>
        <a:xfrm>
          <a:off x="893650" y="1656775"/>
          <a:ext cx="3926025" cy="702950"/>
          <a:chOff x="893650" y="1656775"/>
          <a:chExt cx="3926025" cy="702950"/>
        </a:xfrm>
      </xdr:grpSpPr>
      <xdr:cxnSp>
        <xdr:nvCxnSpPr>
          <xdr:cNvPr id="6" name="Shape 6"/>
          <xdr:cNvCxnSpPr/>
        </xdr:nvCxnSpPr>
        <xdr:spPr>
          <a:xfrm>
            <a:off x="2891800" y="1747125"/>
            <a:ext cx="20100" cy="61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7" name="Shape 7"/>
          <xdr:cNvCxnSpPr/>
        </xdr:nvCxnSpPr>
        <xdr:spPr>
          <a:xfrm>
            <a:off x="893650" y="1656775"/>
            <a:ext cx="1938000" cy="6627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  <xdr:cxnSp>
        <xdr:nvCxnSpPr>
          <xdr:cNvPr id="8" name="Shape 8"/>
          <xdr:cNvCxnSpPr/>
        </xdr:nvCxnSpPr>
        <xdr:spPr>
          <a:xfrm flipH="1">
            <a:off x="3022075" y="1706975"/>
            <a:ext cx="1797600" cy="642600"/>
          </a:xfrm>
          <a:prstGeom prst="straightConnector1">
            <a:avLst/>
          </a:pr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304800</xdr:colOff>
      <xdr:row>31</xdr:row>
      <xdr:rowOff>180975</xdr:rowOff>
    </xdr:from>
    <xdr:ext cx="5353050" cy="2733675"/>
    <xdr:grpSp>
      <xdr:nvGrpSpPr>
        <xdr:cNvPr id="2" name="Shape 2" title="Drawing"/>
        <xdr:cNvGrpSpPr/>
      </xdr:nvGrpSpPr>
      <xdr:grpSpPr>
        <a:xfrm>
          <a:off x="712900" y="532175"/>
          <a:ext cx="7470525" cy="3507725"/>
          <a:chOff x="712900" y="532175"/>
          <a:chExt cx="7470525" cy="3507725"/>
        </a:xfrm>
      </xdr:grpSpPr>
      <xdr:sp>
        <xdr:nvSpPr>
          <xdr:cNvPr id="9" name="Shape 9"/>
          <xdr:cNvSpPr/>
        </xdr:nvSpPr>
        <xdr:spPr>
          <a:xfrm>
            <a:off x="1877675" y="692649"/>
            <a:ext cx="3579750" cy="3280725"/>
          </a:xfrm>
          <a:custGeom>
            <a:rect b="b" l="l" r="r" t="t"/>
            <a:pathLst>
              <a:path extrusionOk="0" h="131229" w="143190">
                <a:moveTo>
                  <a:pt x="0" y="130942"/>
                </a:moveTo>
                <a:cubicBezTo>
                  <a:pt x="28658" y="130942"/>
                  <a:pt x="57468" y="132094"/>
                  <a:pt x="85951" y="128934"/>
                </a:cubicBezTo>
                <a:cubicBezTo>
                  <a:pt x="102755" y="127070"/>
                  <a:pt x="121389" y="122815"/>
                  <a:pt x="133344" y="110860"/>
                </a:cubicBezTo>
                <a:cubicBezTo>
                  <a:pt x="145469" y="98735"/>
                  <a:pt x="142582" y="77401"/>
                  <a:pt x="142582" y="60253"/>
                </a:cubicBezTo>
                <a:cubicBezTo>
                  <a:pt x="142582" y="42948"/>
                  <a:pt x="145975" y="22504"/>
                  <a:pt x="135352" y="8843"/>
                </a:cubicBezTo>
                <a:cubicBezTo>
                  <a:pt x="130492" y="2593"/>
                  <a:pt x="120623" y="2766"/>
                  <a:pt x="112860" y="1212"/>
                </a:cubicBezTo>
                <a:cubicBezTo>
                  <a:pt x="105629" y="-236"/>
                  <a:pt x="97366" y="-881"/>
                  <a:pt x="90770" y="2417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3956163" y="532175"/>
            <a:ext cx="381525" cy="331350"/>
          </a:xfrm>
          <a:custGeom>
            <a:rect b="b" l="l" r="r" t="t"/>
            <a:pathLst>
              <a:path extrusionOk="0" h="13254" w="15261">
                <a:moveTo>
                  <a:pt x="12049" y="0"/>
                </a:moveTo>
                <a:cubicBezTo>
                  <a:pt x="7960" y="3068"/>
                  <a:pt x="5777" y="8558"/>
                  <a:pt x="1205" y="10844"/>
                </a:cubicBezTo>
                <a:cubicBezTo>
                  <a:pt x="846" y="11024"/>
                  <a:pt x="1" y="10844"/>
                  <a:pt x="402" y="10844"/>
                </a:cubicBezTo>
                <a:cubicBezTo>
                  <a:pt x="5420" y="10844"/>
                  <a:pt x="10244" y="13254"/>
                  <a:pt x="15262" y="13254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1" name="Shape 11"/>
          <xdr:cNvSpPr txBox="1"/>
        </xdr:nvSpPr>
        <xdr:spPr>
          <a:xfrm>
            <a:off x="5492425" y="1897750"/>
            <a:ext cx="2691000" cy="632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Backpropagation</a:t>
            </a:r>
            <a:endParaRPr sz="1900"/>
          </a:p>
        </xdr:txBody>
      </xdr:sp>
      <xdr:sp>
        <xdr:nvSpPr>
          <xdr:cNvPr id="12" name="Shape 12"/>
          <xdr:cNvSpPr/>
        </xdr:nvSpPr>
        <xdr:spPr>
          <a:xfrm>
            <a:off x="712900" y="3966200"/>
            <a:ext cx="1245100" cy="73700"/>
          </a:xfrm>
          <a:custGeom>
            <a:rect b="b" l="l" r="r" t="t"/>
            <a:pathLst>
              <a:path extrusionOk="0" h="2948" w="49804">
                <a:moveTo>
                  <a:pt x="49804" y="0"/>
                </a:moveTo>
                <a:cubicBezTo>
                  <a:pt x="33822" y="4564"/>
                  <a:pt x="16621" y="2410"/>
                  <a:pt x="0" y="241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104775</xdr:colOff>
      <xdr:row>122</xdr:row>
      <xdr:rowOff>19050</xdr:rowOff>
    </xdr:from>
    <xdr:ext cx="3781425" cy="1057275"/>
    <xdr:grpSp>
      <xdr:nvGrpSpPr>
        <xdr:cNvPr id="2" name="Shape 2" title="Drawing"/>
        <xdr:cNvGrpSpPr/>
      </xdr:nvGrpSpPr>
      <xdr:grpSpPr>
        <a:xfrm>
          <a:off x="2158825" y="1225000"/>
          <a:ext cx="6125075" cy="1689200"/>
          <a:chOff x="2158825" y="1225000"/>
          <a:chExt cx="6125075" cy="1689200"/>
        </a:xfrm>
      </xdr:grpSpPr>
      <xdr:sp>
        <xdr:nvSpPr>
          <xdr:cNvPr id="13" name="Shape 13"/>
          <xdr:cNvSpPr/>
        </xdr:nvSpPr>
        <xdr:spPr>
          <a:xfrm>
            <a:off x="2178900" y="1225000"/>
            <a:ext cx="180725" cy="1586475"/>
          </a:xfrm>
          <a:custGeom>
            <a:rect b="b" l="l" r="r" t="t"/>
            <a:pathLst>
              <a:path extrusionOk="0" h="63459" w="7229">
                <a:moveTo>
                  <a:pt x="0" y="0"/>
                </a:moveTo>
                <a:cubicBezTo>
                  <a:pt x="5846" y="20471"/>
                  <a:pt x="7229" y="42169"/>
                  <a:pt x="7229" y="63459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4" name="Shape 14"/>
          <xdr:cNvSpPr/>
        </xdr:nvSpPr>
        <xdr:spPr>
          <a:xfrm>
            <a:off x="2158825" y="2570500"/>
            <a:ext cx="295875" cy="343700"/>
          </a:xfrm>
          <a:custGeom>
            <a:rect b="b" l="l" r="r" t="t"/>
            <a:pathLst>
              <a:path extrusionOk="0" h="13748" w="11835">
                <a:moveTo>
                  <a:pt x="11245" y="3213"/>
                </a:moveTo>
                <a:cubicBezTo>
                  <a:pt x="12937" y="6593"/>
                  <a:pt x="10533" y="14398"/>
                  <a:pt x="6827" y="13656"/>
                </a:cubicBezTo>
                <a:cubicBezTo>
                  <a:pt x="1837" y="12657"/>
                  <a:pt x="3599" y="3599"/>
                  <a:pt x="0" y="0"/>
                </a:cubicBezTo>
              </a:path>
            </a:pathLst>
          </a:custGeom>
          <a:noFill/>
          <a:ln cap="flat" cmpd="sng" w="2857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5" name="Shape 15"/>
          <xdr:cNvSpPr txBox="1"/>
        </xdr:nvSpPr>
        <xdr:spPr>
          <a:xfrm>
            <a:off x="2500200" y="1686875"/>
            <a:ext cx="5783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Backpropagation</a:t>
            </a:r>
            <a:endParaRPr sz="1400"/>
          </a:p>
        </xdr:txBody>
      </xdr:sp>
    </xdr:grpSp>
    <xdr:clientData fLocksWithSheet="0"/>
  </xdr:oneCellAnchor>
  <xdr:oneCellAnchor>
    <xdr:from>
      <xdr:col>2</xdr:col>
      <xdr:colOff>85725</xdr:colOff>
      <xdr:row>48</xdr:row>
      <xdr:rowOff>171450</xdr:rowOff>
    </xdr:from>
    <xdr:ext cx="7248525" cy="9334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59</xdr:row>
      <xdr:rowOff>47625</xdr:rowOff>
    </xdr:from>
    <xdr:ext cx="7019925" cy="61912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371475</xdr:colOff>
      <xdr:row>54</xdr:row>
      <xdr:rowOff>200025</xdr:rowOff>
    </xdr:from>
    <xdr:ext cx="4572000" cy="485775"/>
    <xdr:pic>
      <xdr:nvPicPr>
        <xdr:cNvPr id="0" name="image6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314325</xdr:colOff>
      <xdr:row>64</xdr:row>
      <xdr:rowOff>142875</xdr:rowOff>
    </xdr:from>
    <xdr:ext cx="5305425" cy="105727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92</xdr:row>
      <xdr:rowOff>47625</xdr:rowOff>
    </xdr:from>
    <xdr:ext cx="6400800" cy="13049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107</xdr:row>
      <xdr:rowOff>66675</xdr:rowOff>
    </xdr:from>
    <xdr:ext cx="7496175" cy="10572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1</v>
      </c>
      <c r="C5" s="5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2</v>
      </c>
      <c r="I5" s="6" t="s">
        <v>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7" t="s">
        <v>8</v>
      </c>
      <c r="C7" s="8">
        <f t="shared" ref="C7:I7" si="1">RAND()* 100</f>
        <v>97.91553003</v>
      </c>
      <c r="D7" s="8">
        <f t="shared" si="1"/>
        <v>6.209356137</v>
      </c>
      <c r="E7" s="8">
        <f t="shared" si="1"/>
        <v>75.37230356</v>
      </c>
      <c r="F7" s="8">
        <f t="shared" si="1"/>
        <v>14.02230943</v>
      </c>
      <c r="G7" s="8">
        <f t="shared" si="1"/>
        <v>59.91014567</v>
      </c>
      <c r="H7" s="8">
        <f t="shared" si="1"/>
        <v>83.90449772</v>
      </c>
      <c r="I7" s="8">
        <f t="shared" si="1"/>
        <v>33.77564719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9" t="s">
        <v>10</v>
      </c>
      <c r="F9" s="2"/>
      <c r="G9" s="2"/>
      <c r="H9" s="2"/>
      <c r="I9" s="2"/>
      <c r="J9" s="2"/>
      <c r="K9" s="2"/>
      <c r="L9" s="2"/>
      <c r="M9" s="2"/>
      <c r="N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0" t="s">
        <v>11</v>
      </c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3"/>
      <c r="F11" s="14"/>
      <c r="G11" s="2"/>
      <c r="H11" s="2"/>
      <c r="I11" s="2"/>
      <c r="J11" s="2"/>
      <c r="K11" s="2"/>
      <c r="L11" s="2"/>
      <c r="M11" s="2"/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15"/>
      <c r="E12" s="16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1"/>
      <c r="C14" s="2"/>
      <c r="D14" s="2"/>
      <c r="E14" s="9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8</v>
      </c>
      <c r="C15" s="2"/>
      <c r="D15" s="8">
        <f t="array" ref="D15:I15">D7:I7</f>
        <v>6.209356137</v>
      </c>
      <c r="E15" s="8">
        <v>75.37230356433466</v>
      </c>
      <c r="F15" s="8">
        <v>14.022309433733525</v>
      </c>
      <c r="G15" s="8">
        <v>59.9101456676954</v>
      </c>
      <c r="H15" s="8">
        <v>83.9044977167085</v>
      </c>
      <c r="I15" s="8">
        <v>33.77564718670036</v>
      </c>
      <c r="J15" s="18">
        <f>RAND()* 100</f>
        <v>87.71192646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 t="s">
        <v>12</v>
      </c>
      <c r="C16" s="2"/>
      <c r="D16" s="19">
        <f t="shared" ref="D16:J16" si="2">rand()</f>
        <v>0.003684999354</v>
      </c>
      <c r="E16" s="19">
        <f t="shared" si="2"/>
        <v>0.9428805836</v>
      </c>
      <c r="F16" s="19">
        <f t="shared" si="2"/>
        <v>0.3729340567</v>
      </c>
      <c r="G16" s="19">
        <f t="shared" si="2"/>
        <v>0.8213991099</v>
      </c>
      <c r="H16" s="19">
        <f t="shared" si="2"/>
        <v>0.3603468294</v>
      </c>
      <c r="I16" s="19">
        <f t="shared" si="2"/>
        <v>0.1502684942</v>
      </c>
      <c r="J16" s="19">
        <f t="shared" si="2"/>
        <v>0.963815562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/>
      <c r="C17" s="2"/>
      <c r="D17" s="2"/>
      <c r="E17" s="2"/>
      <c r="F17" s="2"/>
      <c r="G17" s="2"/>
      <c r="H17" s="2"/>
      <c r="I17" s="2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7" t="s">
        <v>13</v>
      </c>
      <c r="C18" s="2"/>
      <c r="D18" s="2" t="str">
        <f t="array" ref="D18:I18">D5:I5</f>
        <v>brown</v>
      </c>
      <c r="E18" s="2" t="s">
        <v>4</v>
      </c>
      <c r="F18" s="2" t="s">
        <v>5</v>
      </c>
      <c r="G18" s="2" t="s">
        <v>6</v>
      </c>
      <c r="H18" s="2" t="s">
        <v>2</v>
      </c>
      <c r="I18" s="2" t="s">
        <v>7</v>
      </c>
      <c r="J18" s="20" t="s">
        <v>14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2"/>
      <c r="D20" s="2"/>
      <c r="E20" s="2"/>
      <c r="F20" s="2"/>
      <c r="G20" s="2"/>
      <c r="H20" s="7" t="s">
        <v>15</v>
      </c>
      <c r="I20" s="9">
        <v>0.8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16</v>
      </c>
      <c r="I21" s="21">
        <f>J16</f>
        <v>0.963815562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7" t="s">
        <v>17</v>
      </c>
      <c r="I22" s="19">
        <f>RAND()</f>
        <v>0.7778232579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18</v>
      </c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 t="s">
        <v>19</v>
      </c>
      <c r="E26" s="23"/>
      <c r="F26" s="23"/>
      <c r="G26" s="24" t="s">
        <v>20</v>
      </c>
      <c r="K26" s="23"/>
      <c r="L26" s="23"/>
      <c r="M26" s="24" t="s">
        <v>20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4" t="s">
        <v>1</v>
      </c>
      <c r="C28" s="5" t="s">
        <v>2</v>
      </c>
      <c r="D28" s="6" t="s">
        <v>3</v>
      </c>
      <c r="E28" s="6"/>
      <c r="F28" s="6"/>
      <c r="G28" s="6"/>
      <c r="H28" s="4" t="s">
        <v>1</v>
      </c>
      <c r="I28" s="5" t="s">
        <v>2</v>
      </c>
      <c r="J28" s="6" t="s">
        <v>3</v>
      </c>
      <c r="K28" s="2"/>
      <c r="L28" s="2"/>
      <c r="M28" s="2"/>
      <c r="N28" s="4" t="s">
        <v>1</v>
      </c>
      <c r="O28" s="25" t="s">
        <v>21</v>
      </c>
      <c r="P28" s="25" t="s">
        <v>22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1"/>
      <c r="I29" s="2"/>
      <c r="J29" s="2"/>
      <c r="K29" s="2"/>
      <c r="L29" s="2"/>
      <c r="M29" s="2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7" t="s">
        <v>8</v>
      </c>
      <c r="C30" s="8">
        <f t="shared" ref="C30:D30" si="3">RAND()* 100</f>
        <v>91.60862354</v>
      </c>
      <c r="D30" s="8">
        <f t="shared" si="3"/>
        <v>43.58463043</v>
      </c>
      <c r="E30" s="8"/>
      <c r="F30" s="8"/>
      <c r="G30" s="8"/>
      <c r="H30" s="7" t="s">
        <v>8</v>
      </c>
      <c r="I30" s="8">
        <f t="shared" ref="I30:J30" si="4">C30</f>
        <v>91.60862354</v>
      </c>
      <c r="J30" s="8">
        <f t="shared" si="4"/>
        <v>43.58463043</v>
      </c>
      <c r="K30" s="2"/>
      <c r="L30" s="2"/>
      <c r="M30" s="2"/>
      <c r="N30" s="7" t="s">
        <v>8</v>
      </c>
      <c r="O30" s="8">
        <f t="shared" ref="O30:P30" si="5">RAND()* 100</f>
        <v>3.340483669</v>
      </c>
      <c r="P30" s="8">
        <f t="shared" si="5"/>
        <v>25.00502145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10</v>
      </c>
      <c r="F31" s="2"/>
      <c r="G31" s="2"/>
      <c r="H31" s="1"/>
      <c r="I31" s="2"/>
      <c r="J31" s="9" t="s">
        <v>10</v>
      </c>
      <c r="K31" s="2"/>
      <c r="L31" s="2"/>
      <c r="M31" s="2"/>
      <c r="N31" s="1"/>
      <c r="O31" s="2"/>
      <c r="P31" s="9" t="s">
        <v>10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9" t="s">
        <v>10</v>
      </c>
      <c r="F32" s="2"/>
      <c r="G32" s="2"/>
      <c r="H32" s="1"/>
      <c r="I32" s="2"/>
      <c r="J32" s="9" t="s">
        <v>10</v>
      </c>
      <c r="K32" s="2"/>
      <c r="L32" s="2"/>
      <c r="M32" s="2"/>
      <c r="N32" s="1"/>
      <c r="O32" s="2"/>
      <c r="P32" s="9" t="s">
        <v>10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6" t="s">
        <v>11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3"/>
      <c r="Q34" s="14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10</v>
      </c>
      <c r="F36" s="2"/>
      <c r="G36" s="2"/>
      <c r="H36" s="2"/>
      <c r="I36" s="2"/>
      <c r="J36" s="2"/>
      <c r="K36" s="9" t="s">
        <v>10</v>
      </c>
      <c r="L36" s="2"/>
      <c r="M36" s="2"/>
      <c r="N36" s="2"/>
      <c r="O36" s="2"/>
      <c r="P36" s="2"/>
      <c r="Q36" s="9" t="s">
        <v>10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2"/>
      <c r="D37" s="2"/>
      <c r="E37" s="9" t="s">
        <v>10</v>
      </c>
      <c r="F37" s="2"/>
      <c r="G37" s="2"/>
      <c r="H37" s="2"/>
      <c r="I37" s="2"/>
      <c r="J37" s="2"/>
      <c r="K37" s="9" t="s">
        <v>10</v>
      </c>
      <c r="L37" s="2"/>
      <c r="M37" s="2"/>
      <c r="N37" s="2"/>
      <c r="O37" s="2"/>
      <c r="P37" s="2"/>
      <c r="Q37" s="9" t="s">
        <v>10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8</v>
      </c>
      <c r="D38" s="8">
        <f>D30</f>
        <v>43.58463043</v>
      </c>
      <c r="E38" s="18">
        <f>RAND()* 100</f>
        <v>39.36274629</v>
      </c>
      <c r="F38" s="2"/>
      <c r="G38" s="2"/>
      <c r="H38" s="2"/>
      <c r="I38" s="7" t="s">
        <v>8</v>
      </c>
      <c r="J38" s="8">
        <f>J30</f>
        <v>43.58463043</v>
      </c>
      <c r="K38" s="18">
        <f>RAND()* 100</f>
        <v>23.00561115</v>
      </c>
      <c r="L38" s="2"/>
      <c r="M38" s="2"/>
      <c r="N38" s="2"/>
      <c r="O38" s="7" t="s">
        <v>8</v>
      </c>
      <c r="P38" s="8">
        <f>P30</f>
        <v>25.00502145</v>
      </c>
      <c r="Q38" s="18">
        <f>RAND()* 100</f>
        <v>46.14546408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 t="s">
        <v>12</v>
      </c>
      <c r="D39" s="19">
        <f t="shared" ref="D39:E39" si="6">rand()</f>
        <v>0.3638246453</v>
      </c>
      <c r="E39" s="19">
        <f t="shared" si="6"/>
        <v>0.2652733958</v>
      </c>
      <c r="F39" s="19"/>
      <c r="G39" s="19"/>
      <c r="H39" s="19"/>
      <c r="I39" s="7" t="s">
        <v>12</v>
      </c>
      <c r="J39" s="19">
        <f t="shared" ref="J39:K39" si="7">rand()</f>
        <v>0.1417416971</v>
      </c>
      <c r="K39" s="19">
        <f t="shared" si="7"/>
        <v>0.1945308806</v>
      </c>
      <c r="L39" s="2"/>
      <c r="M39" s="2"/>
      <c r="N39" s="2"/>
      <c r="O39" s="7" t="s">
        <v>12</v>
      </c>
      <c r="P39" s="19">
        <f t="shared" ref="P39:Q39" si="8">rand()</f>
        <v>0.6155464973</v>
      </c>
      <c r="Q39" s="19">
        <f t="shared" si="8"/>
        <v>0.1685340988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C40" s="7"/>
      <c r="D40" s="2"/>
      <c r="E40" s="6"/>
      <c r="F40" s="2"/>
      <c r="G40" s="2"/>
      <c r="H40" s="2"/>
      <c r="I40" s="7"/>
      <c r="J40" s="2"/>
      <c r="K40" s="6"/>
      <c r="L40" s="2"/>
      <c r="M40" s="2"/>
      <c r="N40" s="2"/>
      <c r="O40" s="7"/>
      <c r="P40" s="2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C41" s="7" t="s">
        <v>13</v>
      </c>
      <c r="D41" s="2" t="str">
        <f>D28</f>
        <v>brown</v>
      </c>
      <c r="E41" s="27" t="s">
        <v>4</v>
      </c>
      <c r="F41" s="2"/>
      <c r="G41" s="2"/>
      <c r="H41" s="2"/>
      <c r="I41" s="7" t="s">
        <v>13</v>
      </c>
      <c r="J41" s="2" t="str">
        <f>J28</f>
        <v>brown</v>
      </c>
      <c r="K41" s="27" t="s">
        <v>14</v>
      </c>
      <c r="L41" s="2"/>
      <c r="M41" s="2"/>
      <c r="N41" s="2"/>
      <c r="O41" s="7" t="s">
        <v>13</v>
      </c>
      <c r="P41" s="2" t="str">
        <f>P28</f>
        <v>world</v>
      </c>
      <c r="Q41" s="27" t="s">
        <v>23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7" t="s">
        <v>24</v>
      </c>
      <c r="K46" s="19">
        <f>rand()</f>
        <v>0.7848849822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25</v>
      </c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7" t="s">
        <v>26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7" t="s">
        <v>27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7" t="s">
        <v>28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9" t="s">
        <v>29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9" t="s">
        <v>30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8" t="s">
        <v>31</v>
      </c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E75" s="2"/>
      <c r="F75" s="7" t="s">
        <v>32</v>
      </c>
      <c r="G75" s="29" t="s">
        <v>33</v>
      </c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C77" s="7" t="s">
        <v>34</v>
      </c>
      <c r="D77" s="29" t="s">
        <v>35</v>
      </c>
      <c r="E77" s="2"/>
      <c r="F77" s="2"/>
      <c r="G77" s="2"/>
      <c r="H77" s="2"/>
      <c r="K77" s="2"/>
      <c r="L77" s="7" t="s">
        <v>36</v>
      </c>
      <c r="M77" s="30" t="s">
        <v>37</v>
      </c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7" t="s">
        <v>38</v>
      </c>
      <c r="D79" s="29" t="s">
        <v>39</v>
      </c>
      <c r="E79" s="2"/>
      <c r="F79" s="2"/>
      <c r="G79" s="2"/>
      <c r="H79" s="2"/>
      <c r="I79" s="2"/>
      <c r="J79" s="2"/>
      <c r="K79" s="2"/>
      <c r="L79" s="7" t="s">
        <v>40</v>
      </c>
      <c r="M79" s="29" t="s">
        <v>41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7"/>
      <c r="F80" s="2"/>
      <c r="G80" s="9" t="s">
        <v>10</v>
      </c>
      <c r="H80" s="2"/>
      <c r="I80" s="2"/>
      <c r="J80" s="2"/>
      <c r="K80" s="2"/>
      <c r="L80" s="2"/>
      <c r="M80" s="2"/>
      <c r="N80" s="9" t="s">
        <v>10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 t="s">
        <v>42</v>
      </c>
    </row>
    <row r="82">
      <c r="B82" s="1"/>
      <c r="C82" s="2"/>
      <c r="D82" s="2"/>
      <c r="E82" s="2"/>
      <c r="F82" s="2"/>
      <c r="G82" s="9" t="s">
        <v>10</v>
      </c>
      <c r="H82" s="2"/>
      <c r="I82" s="2"/>
      <c r="J82" s="2"/>
      <c r="K82" s="2"/>
      <c r="L82" s="2"/>
      <c r="M82" s="2"/>
      <c r="N82" s="9" t="s">
        <v>10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6" t="s">
        <v>11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13"/>
      <c r="R84" s="14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9" t="s">
        <v>10</v>
      </c>
      <c r="H86" s="2"/>
      <c r="I86" s="2"/>
      <c r="J86" s="2"/>
      <c r="K86" s="2"/>
      <c r="L86" s="2"/>
      <c r="M86" s="2"/>
      <c r="O86" s="2"/>
      <c r="P86" s="9" t="s">
        <v>10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9" t="s">
        <v>10</v>
      </c>
      <c r="H87" s="2"/>
      <c r="I87" s="2"/>
      <c r="J87" s="2"/>
      <c r="K87" s="2"/>
      <c r="L87" s="2"/>
      <c r="M87" s="2"/>
      <c r="O87" s="2"/>
      <c r="P87" s="9" t="s">
        <v>10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7" t="s">
        <v>43</v>
      </c>
      <c r="C88" s="8">
        <f t="shared" ref="C88:I88" si="9">rand()*100</f>
        <v>1.636649593</v>
      </c>
      <c r="D88" s="8">
        <f t="shared" si="9"/>
        <v>12.5798342</v>
      </c>
      <c r="E88" s="8">
        <f t="shared" si="9"/>
        <v>65.93616123</v>
      </c>
      <c r="F88" s="8">
        <f t="shared" si="9"/>
        <v>75.78311915</v>
      </c>
      <c r="G88" s="8">
        <f t="shared" si="9"/>
        <v>56.95817673</v>
      </c>
      <c r="H88" s="8">
        <f t="shared" si="9"/>
        <v>90.15596058</v>
      </c>
      <c r="I88" s="8">
        <f t="shared" si="9"/>
        <v>77.09105126</v>
      </c>
      <c r="J88" s="2"/>
      <c r="K88" s="2"/>
      <c r="L88" s="8">
        <f t="array" ref="L88:O89">C88:F89</f>
        <v>1.636649593</v>
      </c>
      <c r="M88" s="8">
        <v>12.5798341966059</v>
      </c>
      <c r="N88" s="8">
        <v>65.93616123458136</v>
      </c>
      <c r="O88" s="8">
        <v>75.78311914625249</v>
      </c>
      <c r="P88" s="8">
        <f t="shared" ref="P88:R88" si="10">rand()*100</f>
        <v>37.54687897</v>
      </c>
      <c r="Q88" s="8">
        <f t="shared" si="10"/>
        <v>47.39262799</v>
      </c>
      <c r="R88" s="8">
        <f t="shared" si="10"/>
        <v>18.04360412</v>
      </c>
      <c r="S88" s="2"/>
      <c r="T88" s="2"/>
      <c r="U88" s="2"/>
      <c r="V88" s="2"/>
      <c r="W88" s="2"/>
      <c r="X88" s="2"/>
      <c r="Y88" s="2"/>
      <c r="Z88" s="2"/>
    </row>
    <row r="89">
      <c r="B89" s="7" t="s">
        <v>44</v>
      </c>
      <c r="C89" s="31">
        <f t="shared" ref="C89:I89" si="11">rand()</f>
        <v>0.1460489424</v>
      </c>
      <c r="D89" s="31">
        <f t="shared" si="11"/>
        <v>0.0203983566</v>
      </c>
      <c r="E89" s="31">
        <f t="shared" si="11"/>
        <v>0.9233389057</v>
      </c>
      <c r="F89" s="31">
        <f t="shared" si="11"/>
        <v>0.1072408751</v>
      </c>
      <c r="G89" s="31">
        <f t="shared" si="11"/>
        <v>0.9448982368</v>
      </c>
      <c r="H89" s="31">
        <f t="shared" si="11"/>
        <v>0.6738440679</v>
      </c>
      <c r="I89" s="31">
        <f t="shared" si="11"/>
        <v>0.3578141466</v>
      </c>
      <c r="J89" s="2"/>
      <c r="K89" s="2"/>
      <c r="L89" s="31">
        <v>0.14604894235538468</v>
      </c>
      <c r="M89" s="31">
        <v>0.02039835660053213</v>
      </c>
      <c r="N89" s="31">
        <v>0.9233389056915264</v>
      </c>
      <c r="O89" s="31">
        <v>0.10724087505132385</v>
      </c>
      <c r="P89" s="31">
        <f t="shared" ref="P89:R89" si="12">rand()</f>
        <v>0.5814905003</v>
      </c>
      <c r="Q89" s="31">
        <f t="shared" si="12"/>
        <v>0.9117348254</v>
      </c>
      <c r="R89" s="31">
        <f t="shared" si="12"/>
        <v>0.29553451</v>
      </c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8" t="s">
        <v>45</v>
      </c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32" t="s">
        <v>46</v>
      </c>
      <c r="C101" s="33">
        <f t="array" ref="C101:I101">C89:I89</f>
        <v>0.1460489424</v>
      </c>
      <c r="D101" s="33">
        <v>0.02039835660053213</v>
      </c>
      <c r="E101" s="33">
        <v>0.9233389056915264</v>
      </c>
      <c r="F101" s="33">
        <v>0.10724087505132385</v>
      </c>
      <c r="G101" s="33">
        <v>0.944898236778527</v>
      </c>
      <c r="H101" s="33">
        <v>0.673844067902992</v>
      </c>
      <c r="I101" s="33">
        <v>0.3578141465968905</v>
      </c>
      <c r="J101" s="34"/>
      <c r="K101" s="32" t="s">
        <v>47</v>
      </c>
      <c r="L101" s="33">
        <f t="array" ref="L101:R101">L89:R89</f>
        <v>0.1460489424</v>
      </c>
      <c r="M101" s="33">
        <v>0.02039835660053213</v>
      </c>
      <c r="N101" s="33">
        <v>0.9233389056915264</v>
      </c>
      <c r="O101" s="33">
        <v>0.10724087505132385</v>
      </c>
      <c r="P101" s="33">
        <v>0.5814905003313435</v>
      </c>
      <c r="Q101" s="33">
        <v>0.9117348253791219</v>
      </c>
      <c r="R101" s="33">
        <v>0.29553450999547826</v>
      </c>
      <c r="S101" s="2"/>
      <c r="T101" s="2"/>
      <c r="U101" s="2"/>
      <c r="V101" s="2"/>
      <c r="W101" s="2"/>
      <c r="X101" s="2"/>
      <c r="Y101" s="2"/>
      <c r="Z101" s="2"/>
    </row>
    <row r="102">
      <c r="B102" s="7" t="s">
        <v>12</v>
      </c>
      <c r="C102" s="7"/>
      <c r="D102" s="19"/>
      <c r="E102" s="2"/>
      <c r="F102" s="2"/>
      <c r="G102" s="2"/>
      <c r="H102" s="2"/>
      <c r="I102" s="2"/>
      <c r="J102" s="2"/>
      <c r="K102" s="7" t="s">
        <v>12</v>
      </c>
      <c r="L102" s="7"/>
      <c r="M102" s="1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7"/>
      <c r="D103" s="19"/>
      <c r="E103" s="2"/>
      <c r="F103" s="2"/>
      <c r="G103" s="2"/>
      <c r="H103" s="2"/>
      <c r="I103" s="2"/>
      <c r="J103" s="2"/>
      <c r="L103" s="7"/>
      <c r="M103" s="19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7" t="s">
        <v>48</v>
      </c>
      <c r="D104" s="19">
        <f>AVERAGE(LN(C101:I101))</f>
        <v>-3.89230094</v>
      </c>
      <c r="E104" s="2"/>
      <c r="F104" s="2"/>
      <c r="G104" s="2"/>
      <c r="H104" s="2"/>
      <c r="I104" s="2"/>
      <c r="J104" s="2"/>
      <c r="K104" s="7" t="s">
        <v>49</v>
      </c>
      <c r="L104" s="19">
        <f>AVERAGE(LN(L101:R101))</f>
        <v>-1.923813492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8" t="s">
        <v>50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7" t="s">
        <v>51</v>
      </c>
      <c r="E115" s="35">
        <v>2.0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7" t="s">
        <v>52</v>
      </c>
      <c r="E116" s="35">
        <v>0.5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7" t="s">
        <v>53</v>
      </c>
      <c r="E118" s="19">
        <f>E115*(D104-L104)-E116</f>
        <v>-4.436974897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7" t="s">
        <v>54</v>
      </c>
      <c r="E120" s="19">
        <f>1/(1+EXP(-E118))</f>
        <v>0.01169332484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3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7" t="s">
        <v>55</v>
      </c>
      <c r="E122" s="37">
        <f>-LN(E120)</f>
        <v>4.448737126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D129" s="10" t="s">
        <v>11</v>
      </c>
      <c r="E129" s="11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D130" s="13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D131" s="15"/>
      <c r="E131" s="16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</sheetData>
  <mergeCells count="14">
    <mergeCell ref="A48:Z48"/>
    <mergeCell ref="A72:Z72"/>
    <mergeCell ref="A81:Z81"/>
    <mergeCell ref="E83:R85"/>
    <mergeCell ref="A91:Z91"/>
    <mergeCell ref="A106:Z106"/>
    <mergeCell ref="D129:F131"/>
    <mergeCell ref="A2:Z2"/>
    <mergeCell ref="D10:F12"/>
    <mergeCell ref="A24:Z24"/>
    <mergeCell ref="A26:D26"/>
    <mergeCell ref="G26:J26"/>
    <mergeCell ref="M26:P26"/>
    <mergeCell ref="D33:Q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6" width="4.88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4" t="s">
        <v>1</v>
      </c>
      <c r="C5" s="5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2</v>
      </c>
      <c r="I5" s="6" t="s">
        <v>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2"/>
      <c r="D6" s="2"/>
      <c r="E6" s="2"/>
      <c r="F6" s="2"/>
      <c r="G6" s="2"/>
      <c r="H6" s="2"/>
      <c r="I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7" t="s">
        <v>8</v>
      </c>
      <c r="C7" s="8">
        <f t="shared" ref="C7:I7" si="1">RAND()* 100</f>
        <v>31.66684641</v>
      </c>
      <c r="D7" s="8">
        <f t="shared" si="1"/>
        <v>3.765027446</v>
      </c>
      <c r="E7" s="8">
        <f t="shared" si="1"/>
        <v>38.80629904</v>
      </c>
      <c r="F7" s="8">
        <f t="shared" si="1"/>
        <v>72.84218965</v>
      </c>
      <c r="G7" s="8">
        <f t="shared" si="1"/>
        <v>94.94632033</v>
      </c>
      <c r="H7" s="8">
        <f t="shared" si="1"/>
        <v>84.64241855</v>
      </c>
      <c r="I7" s="8">
        <f t="shared" si="1"/>
        <v>16.58686427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2"/>
      <c r="D8" s="2"/>
      <c r="E8" s="9" t="s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2"/>
      <c r="D9" s="2"/>
      <c r="E9" s="9" t="s">
        <v>10</v>
      </c>
      <c r="F9" s="2"/>
      <c r="G9" s="2"/>
      <c r="H9" s="2"/>
      <c r="I9" s="2"/>
      <c r="J9" s="2"/>
      <c r="K9" s="2"/>
      <c r="L9" s="2"/>
      <c r="M9" s="2"/>
      <c r="N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2"/>
      <c r="D10" s="10" t="s">
        <v>11</v>
      </c>
      <c r="E10" s="11"/>
      <c r="F10" s="1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13"/>
      <c r="F11" s="14"/>
      <c r="G11" s="2"/>
      <c r="H11" s="2"/>
      <c r="I11" s="2"/>
      <c r="J11" s="2"/>
      <c r="K11" s="2"/>
      <c r="L11" s="2"/>
      <c r="M11" s="2"/>
      <c r="N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1"/>
      <c r="C12" s="2"/>
      <c r="D12" s="15"/>
      <c r="E12" s="16"/>
      <c r="F12" s="17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9" t="s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1"/>
      <c r="C14" s="2"/>
      <c r="D14" s="2"/>
      <c r="E14" s="9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B15" s="7" t="s">
        <v>8</v>
      </c>
      <c r="C15" s="2"/>
      <c r="D15" s="8">
        <f t="array" ref="D15:I15">D7:I7</f>
        <v>3.765027446</v>
      </c>
      <c r="E15" s="8">
        <v>38.80629903664098</v>
      </c>
      <c r="F15" s="8">
        <v>72.84218965069206</v>
      </c>
      <c r="G15" s="8">
        <v>94.94632033385959</v>
      </c>
      <c r="H15" s="8">
        <v>84.64241854811301</v>
      </c>
      <c r="I15" s="8">
        <v>16.586864271363243</v>
      </c>
      <c r="J15" s="18">
        <f>RAND()* 100</f>
        <v>81.68679633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B16" s="7" t="s">
        <v>12</v>
      </c>
      <c r="C16" s="2"/>
      <c r="D16" s="19">
        <f t="shared" ref="D16:J16" si="2">rand()</f>
        <v>0.09312813831</v>
      </c>
      <c r="E16" s="19">
        <f t="shared" si="2"/>
        <v>0.6653261592</v>
      </c>
      <c r="F16" s="19">
        <f t="shared" si="2"/>
        <v>0.5769992208</v>
      </c>
      <c r="G16" s="19">
        <f t="shared" si="2"/>
        <v>0.7241619462</v>
      </c>
      <c r="H16" s="19">
        <f t="shared" si="2"/>
        <v>0.08779930459</v>
      </c>
      <c r="I16" s="19">
        <f t="shared" si="2"/>
        <v>0.1286083181</v>
      </c>
      <c r="J16" s="19">
        <f t="shared" si="2"/>
        <v>0.1521943099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B17" s="7"/>
      <c r="C17" s="2"/>
      <c r="D17" s="2"/>
      <c r="E17" s="2"/>
      <c r="F17" s="2"/>
      <c r="G17" s="2"/>
      <c r="H17" s="2"/>
      <c r="I17" s="2"/>
      <c r="J17" s="6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B18" s="7" t="s">
        <v>13</v>
      </c>
      <c r="C18" s="2"/>
      <c r="D18" s="2" t="str">
        <f t="array" ref="D18:I18">D5:I5</f>
        <v>brown</v>
      </c>
      <c r="E18" s="2" t="s">
        <v>4</v>
      </c>
      <c r="F18" s="2" t="s">
        <v>5</v>
      </c>
      <c r="G18" s="2" t="s">
        <v>6</v>
      </c>
      <c r="H18" s="2" t="s">
        <v>2</v>
      </c>
      <c r="I18" s="2" t="s">
        <v>7</v>
      </c>
      <c r="J18" s="20" t="s">
        <v>14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2"/>
      <c r="D20" s="2"/>
      <c r="E20" s="2"/>
      <c r="F20" s="2"/>
      <c r="G20" s="2"/>
      <c r="H20" s="7" t="s">
        <v>15</v>
      </c>
      <c r="I20" s="9">
        <v>0.8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7" t="s">
        <v>16</v>
      </c>
      <c r="I21" s="21">
        <f>J16</f>
        <v>0.1521943099</v>
      </c>
      <c r="J21" s="2"/>
      <c r="K21" s="2"/>
      <c r="L21" s="2"/>
      <c r="M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7" t="s">
        <v>17</v>
      </c>
      <c r="I22" s="19">
        <f>RAND()</f>
        <v>0.01895861188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1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18</v>
      </c>
    </row>
    <row r="25">
      <c r="B25" s="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2" t="s">
        <v>19</v>
      </c>
      <c r="E26" s="23"/>
      <c r="F26" s="23"/>
      <c r="G26" s="24" t="s">
        <v>20</v>
      </c>
      <c r="K26" s="23"/>
      <c r="L26" s="23"/>
      <c r="M26" s="24" t="s">
        <v>20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4" t="s">
        <v>1</v>
      </c>
      <c r="C28" s="5" t="s">
        <v>2</v>
      </c>
      <c r="D28" s="6" t="s">
        <v>3</v>
      </c>
      <c r="E28" s="6"/>
      <c r="F28" s="6"/>
      <c r="G28" s="6"/>
      <c r="H28" s="4" t="s">
        <v>1</v>
      </c>
      <c r="I28" s="5" t="s">
        <v>2</v>
      </c>
      <c r="J28" s="6" t="s">
        <v>3</v>
      </c>
      <c r="K28" s="2"/>
      <c r="L28" s="2"/>
      <c r="M28" s="2"/>
      <c r="N28" s="4" t="s">
        <v>1</v>
      </c>
      <c r="O28" s="25" t="s">
        <v>21</v>
      </c>
      <c r="P28" s="25" t="s">
        <v>22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2"/>
      <c r="D29" s="2"/>
      <c r="E29" s="2"/>
      <c r="F29" s="2"/>
      <c r="G29" s="2"/>
      <c r="H29" s="1"/>
      <c r="I29" s="2"/>
      <c r="J29" s="2"/>
      <c r="K29" s="2"/>
      <c r="L29" s="2"/>
      <c r="M29" s="2"/>
      <c r="N29" s="1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7" t="s">
        <v>8</v>
      </c>
      <c r="C30" s="8">
        <f t="shared" ref="C30:D30" si="3">RAND()* 100</f>
        <v>84.46795051</v>
      </c>
      <c r="D30" s="8">
        <f t="shared" si="3"/>
        <v>12.40633337</v>
      </c>
      <c r="E30" s="8"/>
      <c r="F30" s="8"/>
      <c r="G30" s="8"/>
      <c r="H30" s="7" t="s">
        <v>8</v>
      </c>
      <c r="I30" s="8">
        <f t="shared" ref="I30:J30" si="4">C30</f>
        <v>84.46795051</v>
      </c>
      <c r="J30" s="8">
        <f t="shared" si="4"/>
        <v>12.40633337</v>
      </c>
      <c r="K30" s="2"/>
      <c r="L30" s="2"/>
      <c r="M30" s="2"/>
      <c r="N30" s="7" t="s">
        <v>8</v>
      </c>
      <c r="O30" s="8">
        <f t="shared" ref="O30:P30" si="5">RAND()* 100</f>
        <v>10.60405918</v>
      </c>
      <c r="P30" s="8">
        <f t="shared" si="5"/>
        <v>9.642004609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1"/>
      <c r="C31" s="2"/>
      <c r="D31" s="9" t="s">
        <v>10</v>
      </c>
      <c r="F31" s="2"/>
      <c r="G31" s="2"/>
      <c r="H31" s="1"/>
      <c r="I31" s="2"/>
      <c r="J31" s="9" t="s">
        <v>10</v>
      </c>
      <c r="K31" s="2"/>
      <c r="L31" s="2"/>
      <c r="M31" s="2"/>
      <c r="N31" s="1"/>
      <c r="O31" s="2"/>
      <c r="P31" s="9" t="s">
        <v>10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1"/>
      <c r="C32" s="2"/>
      <c r="D32" s="9" t="s">
        <v>10</v>
      </c>
      <c r="F32" s="2"/>
      <c r="G32" s="2"/>
      <c r="H32" s="1"/>
      <c r="I32" s="2"/>
      <c r="J32" s="9" t="s">
        <v>10</v>
      </c>
      <c r="K32" s="2"/>
      <c r="L32" s="2"/>
      <c r="M32" s="2"/>
      <c r="N32" s="1"/>
      <c r="O32" s="2"/>
      <c r="P32" s="9" t="s">
        <v>10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2"/>
      <c r="D33" s="26" t="s">
        <v>11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2"/>
      <c r="D34" s="13"/>
      <c r="Q34" s="14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2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7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2"/>
      <c r="D36" s="2"/>
      <c r="E36" s="9" t="s">
        <v>10</v>
      </c>
      <c r="F36" s="2"/>
      <c r="G36" s="2"/>
      <c r="H36" s="2"/>
      <c r="I36" s="2"/>
      <c r="J36" s="2"/>
      <c r="K36" s="9" t="s">
        <v>10</v>
      </c>
      <c r="L36" s="2"/>
      <c r="M36" s="2"/>
      <c r="N36" s="2"/>
      <c r="O36" s="2"/>
      <c r="P36" s="2"/>
      <c r="Q36" s="9" t="s">
        <v>10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2"/>
      <c r="D37" s="2"/>
      <c r="E37" s="9" t="s">
        <v>10</v>
      </c>
      <c r="F37" s="2"/>
      <c r="G37" s="2"/>
      <c r="H37" s="2"/>
      <c r="I37" s="2"/>
      <c r="J37" s="2"/>
      <c r="K37" s="9" t="s">
        <v>10</v>
      </c>
      <c r="L37" s="2"/>
      <c r="M37" s="2"/>
      <c r="N37" s="2"/>
      <c r="O37" s="2"/>
      <c r="P37" s="2"/>
      <c r="Q37" s="9" t="s">
        <v>10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C38" s="7" t="s">
        <v>8</v>
      </c>
      <c r="D38" s="8">
        <f>D30</f>
        <v>12.40633337</v>
      </c>
      <c r="E38" s="18">
        <f>RAND()* 100</f>
        <v>46.68177366</v>
      </c>
      <c r="F38" s="2"/>
      <c r="G38" s="2"/>
      <c r="H38" s="2"/>
      <c r="I38" s="7" t="s">
        <v>8</v>
      </c>
      <c r="J38" s="8">
        <f>J30</f>
        <v>12.40633337</v>
      </c>
      <c r="K38" s="18">
        <f>RAND()* 100</f>
        <v>11.86423276</v>
      </c>
      <c r="L38" s="2"/>
      <c r="M38" s="2"/>
      <c r="N38" s="2"/>
      <c r="O38" s="7" t="s">
        <v>8</v>
      </c>
      <c r="P38" s="8">
        <f>P30</f>
        <v>9.642004609</v>
      </c>
      <c r="Q38" s="18">
        <f>RAND()* 100</f>
        <v>57.72115297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C39" s="7" t="s">
        <v>12</v>
      </c>
      <c r="D39" s="19">
        <f t="shared" ref="D39:E39" si="6">rand()</f>
        <v>0.4487704162</v>
      </c>
      <c r="E39" s="19">
        <f t="shared" si="6"/>
        <v>0.2441342979</v>
      </c>
      <c r="F39" s="19"/>
      <c r="G39" s="19"/>
      <c r="H39" s="19"/>
      <c r="I39" s="7" t="s">
        <v>12</v>
      </c>
      <c r="J39" s="19">
        <f t="shared" ref="J39:K39" si="7">rand()</f>
        <v>0.7432239389</v>
      </c>
      <c r="K39" s="19">
        <f t="shared" si="7"/>
        <v>0.8166531019</v>
      </c>
      <c r="L39" s="2"/>
      <c r="M39" s="2"/>
      <c r="N39" s="2"/>
      <c r="O39" s="7" t="s">
        <v>12</v>
      </c>
      <c r="P39" s="19">
        <f t="shared" ref="P39:Q39" si="8">rand()</f>
        <v>0.8316043486</v>
      </c>
      <c r="Q39" s="19">
        <f t="shared" si="8"/>
        <v>0.062024227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C40" s="7"/>
      <c r="D40" s="2"/>
      <c r="E40" s="6"/>
      <c r="F40" s="2"/>
      <c r="G40" s="2"/>
      <c r="H40" s="2"/>
      <c r="I40" s="7"/>
      <c r="J40" s="2"/>
      <c r="K40" s="6"/>
      <c r="L40" s="2"/>
      <c r="M40" s="2"/>
      <c r="N40" s="2"/>
      <c r="O40" s="7"/>
      <c r="P40" s="2"/>
      <c r="Q40" s="6"/>
      <c r="R40" s="2"/>
      <c r="S40" s="2"/>
      <c r="T40" s="2"/>
      <c r="U40" s="2"/>
      <c r="V40" s="2"/>
      <c r="W40" s="2"/>
      <c r="X40" s="2"/>
      <c r="Y40" s="2"/>
      <c r="Z40" s="2"/>
    </row>
    <row r="41">
      <c r="C41" s="7" t="s">
        <v>13</v>
      </c>
      <c r="D41" s="2" t="str">
        <f>D28</f>
        <v>brown</v>
      </c>
      <c r="E41" s="27" t="s">
        <v>4</v>
      </c>
      <c r="F41" s="2"/>
      <c r="G41" s="2"/>
      <c r="H41" s="2"/>
      <c r="I41" s="7" t="s">
        <v>13</v>
      </c>
      <c r="J41" s="2" t="str">
        <f>J28</f>
        <v>brown</v>
      </c>
      <c r="K41" s="27" t="s">
        <v>14</v>
      </c>
      <c r="L41" s="2"/>
      <c r="M41" s="2"/>
      <c r="N41" s="2"/>
      <c r="O41" s="7" t="s">
        <v>13</v>
      </c>
      <c r="P41" s="2" t="str">
        <f>P28</f>
        <v>world</v>
      </c>
      <c r="Q41" s="27" t="s">
        <v>23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2"/>
      <c r="D46" s="2"/>
      <c r="E46" s="2"/>
      <c r="F46" s="2"/>
      <c r="G46" s="2"/>
      <c r="H46" s="2"/>
      <c r="I46" s="2"/>
      <c r="J46" s="7" t="s">
        <v>24</v>
      </c>
      <c r="K46" s="19">
        <f>rand()</f>
        <v>0.9263644591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8" t="s">
        <v>25</v>
      </c>
    </row>
    <row r="49"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7" t="s">
        <v>26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7" t="s">
        <v>27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7" t="s">
        <v>28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1"/>
      <c r="C59" s="2"/>
      <c r="D59" s="29" t="s">
        <v>29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2"/>
      <c r="D64" s="29" t="s">
        <v>30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8" t="s">
        <v>31</v>
      </c>
    </row>
    <row r="73"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E75" s="2"/>
      <c r="F75" s="7" t="s">
        <v>32</v>
      </c>
      <c r="G75" s="29" t="s">
        <v>33</v>
      </c>
      <c r="H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6.5" customHeight="1"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C77" s="7" t="s">
        <v>34</v>
      </c>
      <c r="D77" s="29" t="s">
        <v>35</v>
      </c>
      <c r="E77" s="2"/>
      <c r="F77" s="2"/>
      <c r="G77" s="2"/>
      <c r="H77" s="2"/>
      <c r="K77" s="2"/>
      <c r="L77" s="7" t="s">
        <v>36</v>
      </c>
      <c r="M77" s="30" t="s">
        <v>37</v>
      </c>
      <c r="N77" s="2"/>
      <c r="O77" s="2"/>
      <c r="P77" s="2"/>
      <c r="R77" s="2"/>
      <c r="S77" s="2"/>
      <c r="T77" s="2"/>
      <c r="U77" s="2"/>
      <c r="V77" s="2"/>
      <c r="W77" s="2"/>
      <c r="X77" s="2"/>
      <c r="Y77" s="2"/>
      <c r="Z77" s="2"/>
    </row>
    <row r="78">
      <c r="B78" s="1"/>
      <c r="C78" s="2"/>
      <c r="D78" s="2"/>
      <c r="E78" s="2"/>
      <c r="F78" s="2"/>
      <c r="G78" s="2"/>
      <c r="H78" s="2"/>
      <c r="I78" s="2"/>
      <c r="J78" s="7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B79" s="1"/>
      <c r="C79" s="7" t="s">
        <v>38</v>
      </c>
      <c r="D79" s="29" t="s">
        <v>39</v>
      </c>
      <c r="E79" s="2"/>
      <c r="F79" s="2"/>
      <c r="G79" s="2"/>
      <c r="H79" s="2"/>
      <c r="I79" s="2"/>
      <c r="J79" s="2"/>
      <c r="K79" s="2"/>
      <c r="L79" s="7" t="s">
        <v>40</v>
      </c>
      <c r="M79" s="29" t="s">
        <v>41</v>
      </c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B80" s="1"/>
      <c r="C80" s="2"/>
      <c r="D80" s="2"/>
      <c r="E80" s="7"/>
      <c r="F80" s="2"/>
      <c r="G80" s="9" t="s">
        <v>10</v>
      </c>
      <c r="H80" s="2"/>
      <c r="I80" s="2"/>
      <c r="J80" s="2"/>
      <c r="K80" s="2"/>
      <c r="L80" s="2"/>
      <c r="M80" s="2"/>
      <c r="N80" s="9" t="s">
        <v>10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8" t="s">
        <v>42</v>
      </c>
    </row>
    <row r="82">
      <c r="B82" s="1"/>
      <c r="C82" s="2"/>
      <c r="D82" s="2"/>
      <c r="E82" s="2"/>
      <c r="F82" s="2"/>
      <c r="G82" s="9" t="s">
        <v>10</v>
      </c>
      <c r="H82" s="2"/>
      <c r="I82" s="2"/>
      <c r="J82" s="2"/>
      <c r="K82" s="2"/>
      <c r="L82" s="2"/>
      <c r="M82" s="2"/>
      <c r="N82" s="9" t="s">
        <v>10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B83" s="1"/>
      <c r="C83" s="2"/>
      <c r="D83" s="2"/>
      <c r="E83" s="26" t="s">
        <v>11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2"/>
      <c r="S83" s="2"/>
      <c r="T83" s="2"/>
      <c r="U83" s="2"/>
      <c r="V83" s="2"/>
      <c r="W83" s="2"/>
      <c r="X83" s="2"/>
      <c r="Y83" s="2"/>
      <c r="Z83" s="2"/>
    </row>
    <row r="84">
      <c r="B84" s="1"/>
      <c r="C84" s="2"/>
      <c r="D84" s="2"/>
      <c r="E84" s="13"/>
      <c r="R84" s="14"/>
      <c r="S84" s="2"/>
      <c r="T84" s="2"/>
      <c r="U84" s="2"/>
      <c r="V84" s="2"/>
      <c r="W84" s="2"/>
      <c r="X84" s="2"/>
      <c r="Y84" s="2"/>
      <c r="Z84" s="2"/>
    </row>
    <row r="85">
      <c r="B85" s="1"/>
      <c r="C85" s="2"/>
      <c r="D85" s="2"/>
      <c r="E85" s="15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7"/>
      <c r="S85" s="2"/>
      <c r="T85" s="2"/>
      <c r="U85" s="2"/>
      <c r="V85" s="2"/>
      <c r="W85" s="2"/>
      <c r="X85" s="2"/>
      <c r="Y85" s="2"/>
      <c r="Z85" s="2"/>
    </row>
    <row r="86">
      <c r="B86" s="1"/>
      <c r="C86" s="2"/>
      <c r="D86" s="2"/>
      <c r="E86" s="2"/>
      <c r="F86" s="2"/>
      <c r="G86" s="9" t="s">
        <v>10</v>
      </c>
      <c r="H86" s="2"/>
      <c r="I86" s="2"/>
      <c r="J86" s="2"/>
      <c r="K86" s="2"/>
      <c r="L86" s="2"/>
      <c r="M86" s="2"/>
      <c r="O86" s="2"/>
      <c r="P86" s="9" t="s">
        <v>10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B87" s="1"/>
      <c r="C87" s="2"/>
      <c r="D87" s="2"/>
      <c r="E87" s="2"/>
      <c r="F87" s="2"/>
      <c r="G87" s="9" t="s">
        <v>10</v>
      </c>
      <c r="H87" s="2"/>
      <c r="I87" s="2"/>
      <c r="J87" s="2"/>
      <c r="K87" s="2"/>
      <c r="L87" s="2"/>
      <c r="M87" s="2"/>
      <c r="O87" s="2"/>
      <c r="P87" s="9" t="s">
        <v>10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B88" s="7" t="s">
        <v>43</v>
      </c>
      <c r="C88" s="8">
        <f t="shared" ref="C88:I88" si="9">rand()*100</f>
        <v>99.67619155</v>
      </c>
      <c r="D88" s="8">
        <f t="shared" si="9"/>
        <v>15.8811353</v>
      </c>
      <c r="E88" s="8">
        <f t="shared" si="9"/>
        <v>30.26052263</v>
      </c>
      <c r="F88" s="8">
        <f t="shared" si="9"/>
        <v>41.50415352</v>
      </c>
      <c r="G88" s="8">
        <f t="shared" si="9"/>
        <v>89.90522402</v>
      </c>
      <c r="H88" s="8">
        <f t="shared" si="9"/>
        <v>6.602600534</v>
      </c>
      <c r="I88" s="8">
        <f t="shared" si="9"/>
        <v>13.62165823</v>
      </c>
      <c r="J88" s="2"/>
      <c r="K88" s="2"/>
      <c r="L88" s="8">
        <f t="array" ref="L88:O89">C88:F89</f>
        <v>99.67619155</v>
      </c>
      <c r="M88" s="8">
        <v>15.881135296291726</v>
      </c>
      <c r="N88" s="8">
        <v>30.26052263377612</v>
      </c>
      <c r="O88" s="8">
        <v>41.50415352155443</v>
      </c>
      <c r="P88" s="8">
        <f t="shared" ref="P88:R88" si="10">rand()*100</f>
        <v>17.61580451</v>
      </c>
      <c r="Q88" s="8">
        <f t="shared" si="10"/>
        <v>49.75859212</v>
      </c>
      <c r="R88" s="8">
        <f t="shared" si="10"/>
        <v>69.18576593</v>
      </c>
      <c r="S88" s="2"/>
      <c r="T88" s="2"/>
      <c r="U88" s="2"/>
      <c r="V88" s="2"/>
      <c r="W88" s="2"/>
      <c r="X88" s="2"/>
      <c r="Y88" s="2"/>
      <c r="Z88" s="2"/>
    </row>
    <row r="89">
      <c r="B89" s="7" t="s">
        <v>12</v>
      </c>
      <c r="C89" s="31">
        <f t="shared" ref="C89:I89" si="11">rand()</f>
        <v>0.3861141167</v>
      </c>
      <c r="D89" s="31">
        <f t="shared" si="11"/>
        <v>0.9200620441</v>
      </c>
      <c r="E89" s="31">
        <f t="shared" si="11"/>
        <v>0.3929838122</v>
      </c>
      <c r="F89" s="31">
        <f t="shared" si="11"/>
        <v>0.06608416479</v>
      </c>
      <c r="G89" s="31">
        <f t="shared" si="11"/>
        <v>0.03050203149</v>
      </c>
      <c r="H89" s="31">
        <f t="shared" si="11"/>
        <v>0.6369843575</v>
      </c>
      <c r="I89" s="31">
        <f t="shared" si="11"/>
        <v>0.1761107158</v>
      </c>
      <c r="J89" s="2"/>
      <c r="K89" s="2"/>
      <c r="L89" s="31">
        <v>0.386114116723695</v>
      </c>
      <c r="M89" s="31">
        <v>0.9200620440930835</v>
      </c>
      <c r="N89" s="31">
        <v>0.3929838121666085</v>
      </c>
      <c r="O89" s="31">
        <v>0.06608416478844736</v>
      </c>
      <c r="P89" s="31">
        <f t="shared" ref="P89:R89" si="12">rand()</f>
        <v>0.650353968</v>
      </c>
      <c r="Q89" s="31">
        <f t="shared" si="12"/>
        <v>0.9282859244</v>
      </c>
      <c r="R89" s="31">
        <f t="shared" si="12"/>
        <v>0.4732034861</v>
      </c>
      <c r="S89" s="2"/>
      <c r="T89" s="2"/>
      <c r="U89" s="2"/>
      <c r="V89" s="2"/>
      <c r="W89" s="2"/>
      <c r="X89" s="2"/>
      <c r="Y89" s="2"/>
      <c r="Z89" s="2"/>
    </row>
    <row r="90"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8" t="s">
        <v>45</v>
      </c>
    </row>
    <row r="92"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B101" s="32" t="s">
        <v>46</v>
      </c>
      <c r="C101" s="33">
        <f t="array" ref="C101:I101">C89:I89</f>
        <v>0.3861141167</v>
      </c>
      <c r="D101" s="33">
        <v>0.9200620440930835</v>
      </c>
      <c r="E101" s="33">
        <v>0.3929838121666085</v>
      </c>
      <c r="F101" s="33">
        <v>0.06608416478844736</v>
      </c>
      <c r="G101" s="33">
        <v>0.030502031487286918</v>
      </c>
      <c r="H101" s="33">
        <v>0.6369843574637383</v>
      </c>
      <c r="I101" s="33">
        <v>0.17611071581913706</v>
      </c>
      <c r="J101" s="34"/>
      <c r="K101" s="32" t="s">
        <v>47</v>
      </c>
      <c r="L101" s="33">
        <f t="array" ref="L101:R101">L89:R89</f>
        <v>0.3861141167</v>
      </c>
      <c r="M101" s="33">
        <v>0.9200620440930835</v>
      </c>
      <c r="N101" s="33">
        <v>0.3929838121666085</v>
      </c>
      <c r="O101" s="33">
        <v>0.06608416478844736</v>
      </c>
      <c r="P101" s="33">
        <v>0.6503539679749992</v>
      </c>
      <c r="Q101" s="33">
        <v>0.9282859244113226</v>
      </c>
      <c r="R101" s="33">
        <v>0.4732034861182367</v>
      </c>
      <c r="S101" s="2"/>
      <c r="T101" s="2"/>
      <c r="U101" s="2"/>
      <c r="V101" s="2"/>
      <c r="W101" s="2"/>
      <c r="X101" s="2"/>
      <c r="Y101" s="2"/>
      <c r="Z101" s="2"/>
    </row>
    <row r="102">
      <c r="B102" s="7" t="s">
        <v>12</v>
      </c>
      <c r="C102" s="7"/>
      <c r="D102" s="19"/>
      <c r="E102" s="2"/>
      <c r="F102" s="2"/>
      <c r="G102" s="2"/>
      <c r="H102" s="2"/>
      <c r="I102" s="2"/>
      <c r="J102" s="2"/>
      <c r="K102" s="7" t="s">
        <v>12</v>
      </c>
      <c r="L102" s="7"/>
      <c r="M102" s="19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B103" s="1"/>
      <c r="C103" s="7"/>
      <c r="D103" s="19"/>
      <c r="E103" s="2"/>
      <c r="F103" s="2"/>
      <c r="G103" s="2"/>
      <c r="H103" s="2"/>
      <c r="I103" s="2"/>
      <c r="J103" s="2"/>
      <c r="L103" s="7"/>
      <c r="M103" s="19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B104" s="1"/>
      <c r="C104" s="7" t="s">
        <v>48</v>
      </c>
      <c r="D104" s="38" t="s">
        <v>56</v>
      </c>
      <c r="E104" s="2"/>
      <c r="F104" s="2"/>
      <c r="G104" s="2"/>
      <c r="H104" s="2"/>
      <c r="I104" s="2"/>
      <c r="J104" s="2"/>
      <c r="K104" s="7" t="s">
        <v>49</v>
      </c>
      <c r="L104" s="38" t="s">
        <v>57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8" t="s">
        <v>50</v>
      </c>
    </row>
    <row r="107"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B115" s="1"/>
      <c r="C115" s="2"/>
      <c r="D115" s="7" t="s">
        <v>51</v>
      </c>
      <c r="E115" s="35">
        <v>2.0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B116" s="1"/>
      <c r="C116" s="2"/>
      <c r="D116" s="7" t="s">
        <v>52</v>
      </c>
      <c r="E116" s="35">
        <v>0.5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B118" s="1"/>
      <c r="C118" s="2"/>
      <c r="D118" s="7" t="s">
        <v>53</v>
      </c>
      <c r="E118" s="39" t="s">
        <v>58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B120" s="1"/>
      <c r="C120" s="2"/>
      <c r="D120" s="7" t="s">
        <v>54</v>
      </c>
      <c r="E120" s="19" t="str">
        <f>1/(1+EXP(-E118))</f>
        <v>#VALUE!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B121" s="1"/>
      <c r="C121" s="2"/>
      <c r="D121" s="2"/>
      <c r="E121" s="3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B122" s="1"/>
      <c r="C122" s="2"/>
      <c r="D122" s="7" t="s">
        <v>55</v>
      </c>
      <c r="E122" s="40" t="s">
        <v>59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9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B128" s="1"/>
      <c r="C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B129" s="1"/>
      <c r="D129" s="10" t="s">
        <v>11</v>
      </c>
      <c r="E129" s="11"/>
      <c r="F129" s="1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B130" s="1"/>
      <c r="D130" s="13"/>
      <c r="F130" s="1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B131" s="1"/>
      <c r="D131" s="15"/>
      <c r="E131" s="16"/>
      <c r="F131" s="17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B132" s="1"/>
      <c r="C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B133" s="1"/>
      <c r="C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B134" s="1"/>
      <c r="C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</sheetData>
  <mergeCells count="14">
    <mergeCell ref="A48:Z48"/>
    <mergeCell ref="A72:Z72"/>
    <mergeCell ref="A81:Z81"/>
    <mergeCell ref="E83:R85"/>
    <mergeCell ref="A91:Z91"/>
    <mergeCell ref="A106:Z106"/>
    <mergeCell ref="D129:F131"/>
    <mergeCell ref="A2:Z2"/>
    <mergeCell ref="D10:F12"/>
    <mergeCell ref="A24:Z24"/>
    <mergeCell ref="A26:D26"/>
    <mergeCell ref="G26:J26"/>
    <mergeCell ref="M26:P26"/>
    <mergeCell ref="D33:Q3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